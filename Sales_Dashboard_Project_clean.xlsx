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D:\Excel learning\p1\"/>
    </mc:Choice>
  </mc:AlternateContent>
  <xr:revisionPtr revIDLastSave="0" documentId="13_ncr:1_{6D520C2F-2700-4365-9365-C9B9CFF02976}" xr6:coauthVersionLast="47" xr6:coauthVersionMax="47" xr10:uidLastSave="{00000000-0000-0000-0000-000000000000}"/>
  <bookViews>
    <workbookView xWindow="-120" yWindow="-120" windowWidth="20730" windowHeight="11040" activeTab="3" xr2:uid="{00000000-000D-0000-FFFF-FFFF00000000}"/>
  </bookViews>
  <sheets>
    <sheet name="Pivot_Analysis" sheetId="5" r:id="rId1"/>
    <sheet name="Charts" sheetId="6" r:id="rId2"/>
    <sheet name="Dashboard_Data" sheetId="7" r:id="rId3"/>
    <sheet name="Dashboard" sheetId="8" r:id="rId4"/>
    <sheet name="Orders" sheetId="1" r:id="rId5"/>
    <sheet name="Products" sheetId="2" r:id="rId6"/>
    <sheet name="Targets" sheetId="3" r:id="rId7"/>
    <sheet name="Cleaning_Log" sheetId="4" r:id="rId8"/>
  </sheets>
  <definedNames>
    <definedName name="_xlnm._FilterDatabase" localSheetId="4" hidden="1">Orders!$A$1:$I$989</definedName>
    <definedName name="Slicer_Category">#N/A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7" l="1"/>
  <c r="N7" i="8" s="1"/>
  <c r="B2" i="7"/>
  <c r="F7" i="8" s="1"/>
  <c r="B1" i="7"/>
  <c r="L2" i="1"/>
  <c r="L3" i="1"/>
  <c r="L4" i="1"/>
  <c r="L5" i="1"/>
  <c r="L6" i="1"/>
  <c r="L7" i="1"/>
  <c r="L8" i="1"/>
  <c r="L9" i="1"/>
  <c r="L10" i="1"/>
  <c r="L11" i="1"/>
  <c r="L12" i="1"/>
  <c r="L13" i="1"/>
  <c r="L14" i="1"/>
  <c r="L15" i="1"/>
  <c r="N15" i="1" s="1"/>
  <c r="L16" i="1"/>
  <c r="N16" i="1" s="1"/>
  <c r="L17" i="1"/>
  <c r="N17" i="1" s="1"/>
  <c r="L18" i="1"/>
  <c r="N18" i="1" s="1"/>
  <c r="L19" i="1"/>
  <c r="N19" i="1" s="1"/>
  <c r="L20" i="1"/>
  <c r="N20" i="1" s="1"/>
  <c r="L21" i="1"/>
  <c r="N21" i="1" s="1"/>
  <c r="L22" i="1"/>
  <c r="N22" i="1" s="1"/>
  <c r="L23" i="1"/>
  <c r="N23" i="1" s="1"/>
  <c r="L24" i="1"/>
  <c r="N24" i="1" s="1"/>
  <c r="L25" i="1"/>
  <c r="N25" i="1" s="1"/>
  <c r="L26" i="1"/>
  <c r="N26" i="1" s="1"/>
  <c r="L27" i="1"/>
  <c r="N27" i="1" s="1"/>
  <c r="L28" i="1"/>
  <c r="N28" i="1" s="1"/>
  <c r="L29" i="1"/>
  <c r="N29" i="1" s="1"/>
  <c r="L30" i="1"/>
  <c r="N30" i="1" s="1"/>
  <c r="L31" i="1"/>
  <c r="N31" i="1" s="1"/>
  <c r="L32" i="1"/>
  <c r="N32" i="1" s="1"/>
  <c r="L33" i="1"/>
  <c r="N33" i="1" s="1"/>
  <c r="L34" i="1"/>
  <c r="N34" i="1" s="1"/>
  <c r="L35" i="1"/>
  <c r="N35" i="1" s="1"/>
  <c r="L36" i="1"/>
  <c r="N36" i="1" s="1"/>
  <c r="L37" i="1"/>
  <c r="N37" i="1" s="1"/>
  <c r="L38" i="1"/>
  <c r="N38" i="1" s="1"/>
  <c r="L39" i="1"/>
  <c r="N39" i="1" s="1"/>
  <c r="L40" i="1"/>
  <c r="N40" i="1" s="1"/>
  <c r="L41" i="1"/>
  <c r="N41" i="1" s="1"/>
  <c r="L42" i="1"/>
  <c r="N42" i="1" s="1"/>
  <c r="L43" i="1"/>
  <c r="N43" i="1" s="1"/>
  <c r="L44" i="1"/>
  <c r="N44" i="1" s="1"/>
  <c r="L45" i="1"/>
  <c r="N45" i="1" s="1"/>
  <c r="L46" i="1"/>
  <c r="N46" i="1" s="1"/>
  <c r="L47" i="1"/>
  <c r="N47" i="1" s="1"/>
  <c r="L48" i="1"/>
  <c r="N48" i="1" s="1"/>
  <c r="L49" i="1"/>
  <c r="N49" i="1" s="1"/>
  <c r="L50" i="1"/>
  <c r="N50" i="1" s="1"/>
  <c r="L51" i="1"/>
  <c r="N51" i="1" s="1"/>
  <c r="L52" i="1"/>
  <c r="N52" i="1" s="1"/>
  <c r="L53" i="1"/>
  <c r="N53" i="1" s="1"/>
  <c r="L54" i="1"/>
  <c r="N54" i="1" s="1"/>
  <c r="L55" i="1"/>
  <c r="N55" i="1" s="1"/>
  <c r="L56" i="1"/>
  <c r="N56" i="1" s="1"/>
  <c r="L57" i="1"/>
  <c r="N57" i="1" s="1"/>
  <c r="L58" i="1"/>
  <c r="N58" i="1" s="1"/>
  <c r="L59" i="1"/>
  <c r="N59" i="1" s="1"/>
  <c r="L60" i="1"/>
  <c r="N60" i="1" s="1"/>
  <c r="L61" i="1"/>
  <c r="N61" i="1" s="1"/>
  <c r="L62" i="1"/>
  <c r="N62" i="1" s="1"/>
  <c r="L63" i="1"/>
  <c r="N63" i="1" s="1"/>
  <c r="L64" i="1"/>
  <c r="N64" i="1" s="1"/>
  <c r="L65" i="1"/>
  <c r="N65" i="1" s="1"/>
  <c r="L66" i="1"/>
  <c r="N66" i="1" s="1"/>
  <c r="L67" i="1"/>
  <c r="N67" i="1" s="1"/>
  <c r="L68" i="1"/>
  <c r="N68" i="1" s="1"/>
  <c r="L69" i="1"/>
  <c r="N69" i="1" s="1"/>
  <c r="L70" i="1"/>
  <c r="N70" i="1" s="1"/>
  <c r="L71" i="1"/>
  <c r="N71" i="1" s="1"/>
  <c r="L72" i="1"/>
  <c r="N72" i="1" s="1"/>
  <c r="L73" i="1"/>
  <c r="N73" i="1" s="1"/>
  <c r="L74" i="1"/>
  <c r="N74" i="1" s="1"/>
  <c r="L75" i="1"/>
  <c r="N75" i="1" s="1"/>
  <c r="L76" i="1"/>
  <c r="N76" i="1" s="1"/>
  <c r="L77" i="1"/>
  <c r="N77" i="1" s="1"/>
  <c r="L78" i="1"/>
  <c r="N78" i="1" s="1"/>
  <c r="L79" i="1"/>
  <c r="N79" i="1" s="1"/>
  <c r="L80" i="1"/>
  <c r="N80" i="1" s="1"/>
  <c r="L81" i="1"/>
  <c r="N81" i="1" s="1"/>
  <c r="L82" i="1"/>
  <c r="N82" i="1" s="1"/>
  <c r="L83" i="1"/>
  <c r="N83" i="1" s="1"/>
  <c r="L84" i="1"/>
  <c r="N84" i="1" s="1"/>
  <c r="L85" i="1"/>
  <c r="N85" i="1" s="1"/>
  <c r="L86" i="1"/>
  <c r="N86" i="1" s="1"/>
  <c r="L87" i="1"/>
  <c r="N87" i="1" s="1"/>
  <c r="L88" i="1"/>
  <c r="N88" i="1" s="1"/>
  <c r="L89" i="1"/>
  <c r="N89" i="1" s="1"/>
  <c r="L90" i="1"/>
  <c r="N90" i="1" s="1"/>
  <c r="L91" i="1"/>
  <c r="N91" i="1" s="1"/>
  <c r="L92" i="1"/>
  <c r="N92" i="1" s="1"/>
  <c r="L93" i="1"/>
  <c r="N93" i="1" s="1"/>
  <c r="L94" i="1"/>
  <c r="N94" i="1" s="1"/>
  <c r="L95" i="1"/>
  <c r="N95" i="1" s="1"/>
  <c r="L96" i="1"/>
  <c r="N96" i="1" s="1"/>
  <c r="L97" i="1"/>
  <c r="N97" i="1" s="1"/>
  <c r="L98" i="1"/>
  <c r="N98" i="1" s="1"/>
  <c r="L99" i="1"/>
  <c r="N99" i="1" s="1"/>
  <c r="L100" i="1"/>
  <c r="N100" i="1" s="1"/>
  <c r="L101" i="1"/>
  <c r="N101" i="1" s="1"/>
  <c r="L102" i="1"/>
  <c r="N102" i="1" s="1"/>
  <c r="L103" i="1"/>
  <c r="N103" i="1" s="1"/>
  <c r="L104" i="1"/>
  <c r="N104" i="1" s="1"/>
  <c r="L105" i="1"/>
  <c r="N105" i="1" s="1"/>
  <c r="L106" i="1"/>
  <c r="N106" i="1" s="1"/>
  <c r="L107" i="1"/>
  <c r="N107" i="1" s="1"/>
  <c r="L108" i="1"/>
  <c r="N108" i="1" s="1"/>
  <c r="L109" i="1"/>
  <c r="N109" i="1" s="1"/>
  <c r="L110" i="1"/>
  <c r="N110" i="1" s="1"/>
  <c r="L111" i="1"/>
  <c r="N111" i="1" s="1"/>
  <c r="L112" i="1"/>
  <c r="N112" i="1" s="1"/>
  <c r="L113" i="1"/>
  <c r="N113" i="1" s="1"/>
  <c r="L114" i="1"/>
  <c r="N114" i="1" s="1"/>
  <c r="L115" i="1"/>
  <c r="N115" i="1" s="1"/>
  <c r="L116" i="1"/>
  <c r="N116" i="1" s="1"/>
  <c r="L117" i="1"/>
  <c r="N117" i="1" s="1"/>
  <c r="L118" i="1"/>
  <c r="N118" i="1" s="1"/>
  <c r="L119" i="1"/>
  <c r="N119" i="1" s="1"/>
  <c r="L120" i="1"/>
  <c r="N120" i="1" s="1"/>
  <c r="L121" i="1"/>
  <c r="N121" i="1" s="1"/>
  <c r="L122" i="1"/>
  <c r="N122" i="1" s="1"/>
  <c r="L123" i="1"/>
  <c r="N123" i="1" s="1"/>
  <c r="L124" i="1"/>
  <c r="N124" i="1" s="1"/>
  <c r="L125" i="1"/>
  <c r="N125" i="1" s="1"/>
  <c r="L126" i="1"/>
  <c r="N126" i="1" s="1"/>
  <c r="L127" i="1"/>
  <c r="N127" i="1" s="1"/>
  <c r="L128" i="1"/>
  <c r="N128" i="1" s="1"/>
  <c r="L129" i="1"/>
  <c r="N129" i="1" s="1"/>
  <c r="L130" i="1"/>
  <c r="N130" i="1" s="1"/>
  <c r="L131" i="1"/>
  <c r="N131" i="1" s="1"/>
  <c r="L132" i="1"/>
  <c r="N132" i="1" s="1"/>
  <c r="L133" i="1"/>
  <c r="N133" i="1" s="1"/>
  <c r="L134" i="1"/>
  <c r="N134" i="1" s="1"/>
  <c r="L135" i="1"/>
  <c r="N135" i="1" s="1"/>
  <c r="L136" i="1"/>
  <c r="N136" i="1" s="1"/>
  <c r="L137" i="1"/>
  <c r="N137" i="1" s="1"/>
  <c r="L138" i="1"/>
  <c r="N138" i="1" s="1"/>
  <c r="L139" i="1"/>
  <c r="N139" i="1" s="1"/>
  <c r="L140" i="1"/>
  <c r="N140" i="1" s="1"/>
  <c r="L141" i="1"/>
  <c r="N141" i="1" s="1"/>
  <c r="L142" i="1"/>
  <c r="N142" i="1" s="1"/>
  <c r="L143" i="1"/>
  <c r="N143" i="1" s="1"/>
  <c r="L144" i="1"/>
  <c r="N144" i="1" s="1"/>
  <c r="L145" i="1"/>
  <c r="N145" i="1" s="1"/>
  <c r="L146" i="1"/>
  <c r="N146" i="1" s="1"/>
  <c r="L147" i="1"/>
  <c r="N147" i="1" s="1"/>
  <c r="L148" i="1"/>
  <c r="N148" i="1" s="1"/>
  <c r="L149" i="1"/>
  <c r="N149" i="1" s="1"/>
  <c r="L150" i="1"/>
  <c r="N150" i="1" s="1"/>
  <c r="L151" i="1"/>
  <c r="N151" i="1" s="1"/>
  <c r="L152" i="1"/>
  <c r="N152" i="1" s="1"/>
  <c r="L153" i="1"/>
  <c r="N153" i="1" s="1"/>
  <c r="L154" i="1"/>
  <c r="N154" i="1" s="1"/>
  <c r="L155" i="1"/>
  <c r="N155" i="1" s="1"/>
  <c r="L156" i="1"/>
  <c r="N156" i="1" s="1"/>
  <c r="L157" i="1"/>
  <c r="N157" i="1" s="1"/>
  <c r="L158" i="1"/>
  <c r="N158" i="1" s="1"/>
  <c r="L159" i="1"/>
  <c r="N159" i="1" s="1"/>
  <c r="L160" i="1"/>
  <c r="N160" i="1" s="1"/>
  <c r="L161" i="1"/>
  <c r="N161" i="1" s="1"/>
  <c r="L162" i="1"/>
  <c r="N162" i="1" s="1"/>
  <c r="L163" i="1"/>
  <c r="N163" i="1" s="1"/>
  <c r="L164" i="1"/>
  <c r="N164" i="1" s="1"/>
  <c r="L165" i="1"/>
  <c r="N165" i="1" s="1"/>
  <c r="L166" i="1"/>
  <c r="N166" i="1" s="1"/>
  <c r="L167" i="1"/>
  <c r="N167" i="1" s="1"/>
  <c r="L168" i="1"/>
  <c r="N168" i="1" s="1"/>
  <c r="L169" i="1"/>
  <c r="N169" i="1" s="1"/>
  <c r="L170" i="1"/>
  <c r="N170" i="1" s="1"/>
  <c r="L171" i="1"/>
  <c r="N171" i="1" s="1"/>
  <c r="L172" i="1"/>
  <c r="N172" i="1" s="1"/>
  <c r="L173" i="1"/>
  <c r="N173" i="1" s="1"/>
  <c r="L174" i="1"/>
  <c r="N174" i="1" s="1"/>
  <c r="L175" i="1"/>
  <c r="N175" i="1" s="1"/>
  <c r="L176" i="1"/>
  <c r="N176" i="1" s="1"/>
  <c r="L177" i="1"/>
  <c r="N177" i="1" s="1"/>
  <c r="L178" i="1"/>
  <c r="N178" i="1" s="1"/>
  <c r="L179" i="1"/>
  <c r="N179" i="1" s="1"/>
  <c r="L180" i="1"/>
  <c r="N180" i="1" s="1"/>
  <c r="L181" i="1"/>
  <c r="N181" i="1" s="1"/>
  <c r="L182" i="1"/>
  <c r="N182" i="1" s="1"/>
  <c r="L183" i="1"/>
  <c r="N183" i="1" s="1"/>
  <c r="L184" i="1"/>
  <c r="N184" i="1" s="1"/>
  <c r="L185" i="1"/>
  <c r="N185" i="1" s="1"/>
  <c r="L186" i="1"/>
  <c r="N186" i="1" s="1"/>
  <c r="L187" i="1"/>
  <c r="N187" i="1" s="1"/>
  <c r="L188" i="1"/>
  <c r="N188" i="1" s="1"/>
  <c r="L189" i="1"/>
  <c r="N189" i="1" s="1"/>
  <c r="L190" i="1"/>
  <c r="N190" i="1" s="1"/>
  <c r="L191" i="1"/>
  <c r="N191" i="1" s="1"/>
  <c r="L192" i="1"/>
  <c r="N192" i="1" s="1"/>
  <c r="L193" i="1"/>
  <c r="N193" i="1" s="1"/>
  <c r="L194" i="1"/>
  <c r="N194" i="1" s="1"/>
  <c r="L195" i="1"/>
  <c r="N195" i="1" s="1"/>
  <c r="L196" i="1"/>
  <c r="N196" i="1" s="1"/>
  <c r="L197" i="1"/>
  <c r="N197" i="1" s="1"/>
  <c r="L198" i="1"/>
  <c r="N198" i="1" s="1"/>
  <c r="L199" i="1"/>
  <c r="N199" i="1" s="1"/>
  <c r="L200" i="1"/>
  <c r="N200" i="1" s="1"/>
  <c r="L201" i="1"/>
  <c r="N201" i="1" s="1"/>
  <c r="L202" i="1"/>
  <c r="N202" i="1" s="1"/>
  <c r="L203" i="1"/>
  <c r="N203" i="1" s="1"/>
  <c r="L204" i="1"/>
  <c r="N204" i="1" s="1"/>
  <c r="L205" i="1"/>
  <c r="N205" i="1" s="1"/>
  <c r="L206" i="1"/>
  <c r="N206" i="1" s="1"/>
  <c r="L207" i="1"/>
  <c r="N207" i="1" s="1"/>
  <c r="L208" i="1"/>
  <c r="N208" i="1" s="1"/>
  <c r="L209" i="1"/>
  <c r="N209" i="1" s="1"/>
  <c r="L210" i="1"/>
  <c r="N210" i="1" s="1"/>
  <c r="L211" i="1"/>
  <c r="N211" i="1" s="1"/>
  <c r="L212" i="1"/>
  <c r="N212" i="1" s="1"/>
  <c r="L213" i="1"/>
  <c r="N213" i="1" s="1"/>
  <c r="L214" i="1"/>
  <c r="N214" i="1" s="1"/>
  <c r="L215" i="1"/>
  <c r="N215" i="1" s="1"/>
  <c r="L216" i="1"/>
  <c r="N216" i="1" s="1"/>
  <c r="L217" i="1"/>
  <c r="N217" i="1" s="1"/>
  <c r="L218" i="1"/>
  <c r="N218" i="1" s="1"/>
  <c r="L219" i="1"/>
  <c r="N219" i="1" s="1"/>
  <c r="L220" i="1"/>
  <c r="N220" i="1" s="1"/>
  <c r="L221" i="1"/>
  <c r="N221" i="1" s="1"/>
  <c r="L222" i="1"/>
  <c r="N222" i="1" s="1"/>
  <c r="L223" i="1"/>
  <c r="N223" i="1" s="1"/>
  <c r="L224" i="1"/>
  <c r="N224" i="1" s="1"/>
  <c r="L225" i="1"/>
  <c r="N225" i="1" s="1"/>
  <c r="L226" i="1"/>
  <c r="N226" i="1" s="1"/>
  <c r="L227" i="1"/>
  <c r="N227" i="1" s="1"/>
  <c r="L228" i="1"/>
  <c r="N228" i="1" s="1"/>
  <c r="L229" i="1"/>
  <c r="N229" i="1" s="1"/>
  <c r="L230" i="1"/>
  <c r="N230" i="1" s="1"/>
  <c r="L231" i="1"/>
  <c r="N231" i="1" s="1"/>
  <c r="L232" i="1"/>
  <c r="N232" i="1" s="1"/>
  <c r="L233" i="1"/>
  <c r="N233" i="1" s="1"/>
  <c r="L234" i="1"/>
  <c r="N234" i="1" s="1"/>
  <c r="L235" i="1"/>
  <c r="N235" i="1" s="1"/>
  <c r="L236" i="1"/>
  <c r="N236" i="1" s="1"/>
  <c r="L237" i="1"/>
  <c r="N237" i="1" s="1"/>
  <c r="L238" i="1"/>
  <c r="N238" i="1" s="1"/>
  <c r="L239" i="1"/>
  <c r="N239" i="1" s="1"/>
  <c r="L240" i="1"/>
  <c r="N240" i="1" s="1"/>
  <c r="L241" i="1"/>
  <c r="N241" i="1" s="1"/>
  <c r="L242" i="1"/>
  <c r="N242" i="1" s="1"/>
  <c r="L243" i="1"/>
  <c r="N243" i="1" s="1"/>
  <c r="L244" i="1"/>
  <c r="N244" i="1" s="1"/>
  <c r="L245" i="1"/>
  <c r="N245" i="1" s="1"/>
  <c r="L246" i="1"/>
  <c r="N246" i="1" s="1"/>
  <c r="L247" i="1"/>
  <c r="N247" i="1" s="1"/>
  <c r="L248" i="1"/>
  <c r="N248" i="1" s="1"/>
  <c r="L249" i="1"/>
  <c r="N249" i="1" s="1"/>
  <c r="L250" i="1"/>
  <c r="N250" i="1" s="1"/>
  <c r="L251" i="1"/>
  <c r="N251" i="1" s="1"/>
  <c r="L252" i="1"/>
  <c r="N252" i="1" s="1"/>
  <c r="L253" i="1"/>
  <c r="N253" i="1" s="1"/>
  <c r="L254" i="1"/>
  <c r="N254" i="1" s="1"/>
  <c r="L255" i="1"/>
  <c r="N255" i="1" s="1"/>
  <c r="L256" i="1"/>
  <c r="N256" i="1" s="1"/>
  <c r="L257" i="1"/>
  <c r="N257" i="1" s="1"/>
  <c r="L258" i="1"/>
  <c r="N258" i="1" s="1"/>
  <c r="L259" i="1"/>
  <c r="N259" i="1" s="1"/>
  <c r="L260" i="1"/>
  <c r="N260" i="1" s="1"/>
  <c r="L261" i="1"/>
  <c r="N261" i="1" s="1"/>
  <c r="L262" i="1"/>
  <c r="N262" i="1" s="1"/>
  <c r="L263" i="1"/>
  <c r="N263" i="1" s="1"/>
  <c r="L264" i="1"/>
  <c r="N264" i="1" s="1"/>
  <c r="L265" i="1"/>
  <c r="N265" i="1" s="1"/>
  <c r="L266" i="1"/>
  <c r="N266" i="1" s="1"/>
  <c r="L267" i="1"/>
  <c r="N267" i="1" s="1"/>
  <c r="L268" i="1"/>
  <c r="N268" i="1" s="1"/>
  <c r="L269" i="1"/>
  <c r="N269" i="1" s="1"/>
  <c r="L270" i="1"/>
  <c r="N270" i="1" s="1"/>
  <c r="L271" i="1"/>
  <c r="N271" i="1" s="1"/>
  <c r="L272" i="1"/>
  <c r="N272" i="1" s="1"/>
  <c r="L273" i="1"/>
  <c r="N273" i="1" s="1"/>
  <c r="L274" i="1"/>
  <c r="N274" i="1" s="1"/>
  <c r="L275" i="1"/>
  <c r="N275" i="1" s="1"/>
  <c r="L276" i="1"/>
  <c r="N276" i="1" s="1"/>
  <c r="L277" i="1"/>
  <c r="N277" i="1" s="1"/>
  <c r="L278" i="1"/>
  <c r="N278" i="1" s="1"/>
  <c r="L279" i="1"/>
  <c r="N279" i="1" s="1"/>
  <c r="L280" i="1"/>
  <c r="N280" i="1" s="1"/>
  <c r="L281" i="1"/>
  <c r="N281" i="1" s="1"/>
  <c r="L282" i="1"/>
  <c r="N282" i="1" s="1"/>
  <c r="L283" i="1"/>
  <c r="N283" i="1" s="1"/>
  <c r="L284" i="1"/>
  <c r="N284" i="1" s="1"/>
  <c r="L285" i="1"/>
  <c r="N285" i="1" s="1"/>
  <c r="L286" i="1"/>
  <c r="N286" i="1" s="1"/>
  <c r="L287" i="1"/>
  <c r="N287" i="1" s="1"/>
  <c r="L288" i="1"/>
  <c r="N288" i="1" s="1"/>
  <c r="L289" i="1"/>
  <c r="N289" i="1" s="1"/>
  <c r="L290" i="1"/>
  <c r="N290" i="1" s="1"/>
  <c r="L291" i="1"/>
  <c r="N291" i="1" s="1"/>
  <c r="L292" i="1"/>
  <c r="N292" i="1" s="1"/>
  <c r="L293" i="1"/>
  <c r="N293" i="1" s="1"/>
  <c r="L294" i="1"/>
  <c r="N294" i="1" s="1"/>
  <c r="L295" i="1"/>
  <c r="N295" i="1" s="1"/>
  <c r="L296" i="1"/>
  <c r="N296" i="1" s="1"/>
  <c r="L297" i="1"/>
  <c r="N297" i="1" s="1"/>
  <c r="L298" i="1"/>
  <c r="N298" i="1" s="1"/>
  <c r="L299" i="1"/>
  <c r="N299" i="1" s="1"/>
  <c r="L300" i="1"/>
  <c r="N300" i="1" s="1"/>
  <c r="L301" i="1"/>
  <c r="N301" i="1" s="1"/>
  <c r="L302" i="1"/>
  <c r="N302" i="1" s="1"/>
  <c r="L303" i="1"/>
  <c r="N303" i="1" s="1"/>
  <c r="L304" i="1"/>
  <c r="N304" i="1" s="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N458" i="1" s="1"/>
  <c r="L459" i="1"/>
  <c r="N459" i="1" s="1"/>
  <c r="L460" i="1"/>
  <c r="N460" i="1" s="1"/>
  <c r="L461" i="1"/>
  <c r="N461" i="1" s="1"/>
  <c r="L462" i="1"/>
  <c r="N462" i="1" s="1"/>
  <c r="L463" i="1"/>
  <c r="N463" i="1" s="1"/>
  <c r="L464" i="1"/>
  <c r="N464" i="1" s="1"/>
  <c r="L465" i="1"/>
  <c r="N465" i="1" s="1"/>
  <c r="L466" i="1"/>
  <c r="N466" i="1" s="1"/>
  <c r="L467" i="1"/>
  <c r="N467" i="1" s="1"/>
  <c r="L468" i="1"/>
  <c r="N468" i="1" s="1"/>
  <c r="L469" i="1"/>
  <c r="N469" i="1" s="1"/>
  <c r="L470" i="1"/>
  <c r="N470" i="1" s="1"/>
  <c r="L471" i="1"/>
  <c r="N471" i="1" s="1"/>
  <c r="L472" i="1"/>
  <c r="N472" i="1" s="1"/>
  <c r="L473" i="1"/>
  <c r="N473" i="1" s="1"/>
  <c r="L474" i="1"/>
  <c r="N474" i="1" s="1"/>
  <c r="L475" i="1"/>
  <c r="N475" i="1" s="1"/>
  <c r="L476" i="1"/>
  <c r="N476" i="1" s="1"/>
  <c r="L477" i="1"/>
  <c r="N477" i="1" s="1"/>
  <c r="L478" i="1"/>
  <c r="N478" i="1" s="1"/>
  <c r="L479" i="1"/>
  <c r="N479" i="1" s="1"/>
  <c r="L480" i="1"/>
  <c r="N480" i="1" s="1"/>
  <c r="L481" i="1"/>
  <c r="N481" i="1" s="1"/>
  <c r="L482" i="1"/>
  <c r="N482" i="1" s="1"/>
  <c r="L483" i="1"/>
  <c r="N483" i="1" s="1"/>
  <c r="L484" i="1"/>
  <c r="N484" i="1" s="1"/>
  <c r="L485" i="1"/>
  <c r="N485" i="1" s="1"/>
  <c r="L486" i="1"/>
  <c r="N486" i="1" s="1"/>
  <c r="L487" i="1"/>
  <c r="N487" i="1" s="1"/>
  <c r="L488" i="1"/>
  <c r="N488" i="1" s="1"/>
  <c r="L489" i="1"/>
  <c r="N489" i="1" s="1"/>
  <c r="L490" i="1"/>
  <c r="N490" i="1" s="1"/>
  <c r="L491" i="1"/>
  <c r="N491" i="1" s="1"/>
  <c r="L492" i="1"/>
  <c r="N492" i="1" s="1"/>
  <c r="L493" i="1"/>
  <c r="N493" i="1" s="1"/>
  <c r="L494" i="1"/>
  <c r="N494" i="1" s="1"/>
  <c r="L495" i="1"/>
  <c r="N495" i="1" s="1"/>
  <c r="L496" i="1"/>
  <c r="N496" i="1" s="1"/>
  <c r="L497" i="1"/>
  <c r="N497" i="1" s="1"/>
  <c r="L498" i="1"/>
  <c r="N498" i="1" s="1"/>
  <c r="L499" i="1"/>
  <c r="N499" i="1" s="1"/>
  <c r="L500" i="1"/>
  <c r="N500" i="1" s="1"/>
  <c r="L501" i="1"/>
  <c r="N501" i="1" s="1"/>
  <c r="L502" i="1"/>
  <c r="N502" i="1" s="1"/>
  <c r="L503" i="1"/>
  <c r="N503" i="1" s="1"/>
  <c r="L504" i="1"/>
  <c r="N504" i="1" s="1"/>
  <c r="L505" i="1"/>
  <c r="N505" i="1" s="1"/>
  <c r="L506" i="1"/>
  <c r="N506" i="1" s="1"/>
  <c r="L507" i="1"/>
  <c r="N507" i="1" s="1"/>
  <c r="L508" i="1"/>
  <c r="N508" i="1" s="1"/>
  <c r="L509" i="1"/>
  <c r="N509" i="1" s="1"/>
  <c r="L510" i="1"/>
  <c r="N510" i="1" s="1"/>
  <c r="L511" i="1"/>
  <c r="N511" i="1" s="1"/>
  <c r="L512" i="1"/>
  <c r="N512" i="1" s="1"/>
  <c r="L513" i="1"/>
  <c r="N513" i="1" s="1"/>
  <c r="L514" i="1"/>
  <c r="N514" i="1" s="1"/>
  <c r="L515" i="1"/>
  <c r="N515" i="1" s="1"/>
  <c r="L516" i="1"/>
  <c r="N516" i="1" s="1"/>
  <c r="L517" i="1"/>
  <c r="N517" i="1" s="1"/>
  <c r="L518" i="1"/>
  <c r="N518" i="1" s="1"/>
  <c r="L519" i="1"/>
  <c r="N519" i="1" s="1"/>
  <c r="L520" i="1"/>
  <c r="N520" i="1" s="1"/>
  <c r="L521" i="1"/>
  <c r="N521" i="1" s="1"/>
  <c r="L522" i="1"/>
  <c r="N522" i="1" s="1"/>
  <c r="L523" i="1"/>
  <c r="N523" i="1" s="1"/>
  <c r="L524" i="1"/>
  <c r="N524" i="1" s="1"/>
  <c r="L525" i="1"/>
  <c r="N525" i="1" s="1"/>
  <c r="L526" i="1"/>
  <c r="N526" i="1" s="1"/>
  <c r="L527" i="1"/>
  <c r="N527" i="1" s="1"/>
  <c r="L528" i="1"/>
  <c r="N528" i="1" s="1"/>
  <c r="L529" i="1"/>
  <c r="N529" i="1" s="1"/>
  <c r="L530" i="1"/>
  <c r="N530" i="1" s="1"/>
  <c r="L531" i="1"/>
  <c r="N531" i="1" s="1"/>
  <c r="L532" i="1"/>
  <c r="N532" i="1" s="1"/>
  <c r="L533" i="1"/>
  <c r="N533" i="1" s="1"/>
  <c r="L534" i="1"/>
  <c r="N534" i="1" s="1"/>
  <c r="L535" i="1"/>
  <c r="N535" i="1" s="1"/>
  <c r="L536" i="1"/>
  <c r="N536" i="1" s="1"/>
  <c r="L537" i="1"/>
  <c r="N537" i="1" s="1"/>
  <c r="L538" i="1"/>
  <c r="N538" i="1" s="1"/>
  <c r="L539" i="1"/>
  <c r="N539" i="1" s="1"/>
  <c r="L540" i="1"/>
  <c r="N540" i="1" s="1"/>
  <c r="L541" i="1"/>
  <c r="N541" i="1" s="1"/>
  <c r="L542" i="1"/>
  <c r="N542" i="1" s="1"/>
  <c r="L543" i="1"/>
  <c r="N543" i="1" s="1"/>
  <c r="L544" i="1"/>
  <c r="N544" i="1" s="1"/>
  <c r="L545" i="1"/>
  <c r="N545" i="1" s="1"/>
  <c r="L546" i="1"/>
  <c r="N546" i="1" s="1"/>
  <c r="L547" i="1"/>
  <c r="N547" i="1" s="1"/>
  <c r="L548" i="1"/>
  <c r="N548" i="1" s="1"/>
  <c r="L549" i="1"/>
  <c r="N549" i="1" s="1"/>
  <c r="L550" i="1"/>
  <c r="N550" i="1" s="1"/>
  <c r="L551" i="1"/>
  <c r="N551" i="1" s="1"/>
  <c r="L552" i="1"/>
  <c r="N552" i="1" s="1"/>
  <c r="L553" i="1"/>
  <c r="N553" i="1" s="1"/>
  <c r="L554" i="1"/>
  <c r="N554" i="1" s="1"/>
  <c r="L555" i="1"/>
  <c r="N555" i="1" s="1"/>
  <c r="L556" i="1"/>
  <c r="N556" i="1" s="1"/>
  <c r="L557" i="1"/>
  <c r="N557" i="1" s="1"/>
  <c r="L558" i="1"/>
  <c r="N558" i="1" s="1"/>
  <c r="L559" i="1"/>
  <c r="N559" i="1" s="1"/>
  <c r="L560" i="1"/>
  <c r="N560" i="1" s="1"/>
  <c r="L561" i="1"/>
  <c r="N561" i="1" s="1"/>
  <c r="L562" i="1"/>
  <c r="N562" i="1" s="1"/>
  <c r="L563" i="1"/>
  <c r="N563" i="1" s="1"/>
  <c r="L564" i="1"/>
  <c r="N564" i="1" s="1"/>
  <c r="L565" i="1"/>
  <c r="N565" i="1" s="1"/>
  <c r="L566" i="1"/>
  <c r="N566" i="1" s="1"/>
  <c r="L567" i="1"/>
  <c r="N567" i="1" s="1"/>
  <c r="L568" i="1"/>
  <c r="N568" i="1" s="1"/>
  <c r="L569" i="1"/>
  <c r="N569" i="1" s="1"/>
  <c r="L570" i="1"/>
  <c r="N570" i="1" s="1"/>
  <c r="L571" i="1"/>
  <c r="N571" i="1" s="1"/>
  <c r="L572" i="1"/>
  <c r="N572" i="1" s="1"/>
  <c r="L573" i="1"/>
  <c r="N573" i="1" s="1"/>
  <c r="L574" i="1"/>
  <c r="N574" i="1" s="1"/>
  <c r="L575" i="1"/>
  <c r="N575" i="1" s="1"/>
  <c r="L576" i="1"/>
  <c r="N576" i="1" s="1"/>
  <c r="L577" i="1"/>
  <c r="N577" i="1" s="1"/>
  <c r="L578" i="1"/>
  <c r="N578" i="1" s="1"/>
  <c r="L579" i="1"/>
  <c r="N579" i="1" s="1"/>
  <c r="L580" i="1"/>
  <c r="N580" i="1" s="1"/>
  <c r="L581" i="1"/>
  <c r="N581" i="1" s="1"/>
  <c r="L582" i="1"/>
  <c r="N582" i="1" s="1"/>
  <c r="L583" i="1"/>
  <c r="N583" i="1" s="1"/>
  <c r="L584" i="1"/>
  <c r="N584" i="1" s="1"/>
  <c r="L585" i="1"/>
  <c r="N585" i="1" s="1"/>
  <c r="L586" i="1"/>
  <c r="N586" i="1" s="1"/>
  <c r="L587" i="1"/>
  <c r="N587" i="1" s="1"/>
  <c r="L588" i="1"/>
  <c r="N588" i="1" s="1"/>
  <c r="L589" i="1"/>
  <c r="N589" i="1" s="1"/>
  <c r="L590" i="1"/>
  <c r="N590" i="1" s="1"/>
  <c r="L591" i="1"/>
  <c r="N591" i="1" s="1"/>
  <c r="L592" i="1"/>
  <c r="N592" i="1" s="1"/>
  <c r="L593" i="1"/>
  <c r="N593" i="1" s="1"/>
  <c r="L594" i="1"/>
  <c r="N594" i="1" s="1"/>
  <c r="L595" i="1"/>
  <c r="N595" i="1" s="1"/>
  <c r="L596" i="1"/>
  <c r="N596" i="1" s="1"/>
  <c r="L597" i="1"/>
  <c r="N597" i="1" s="1"/>
  <c r="L598" i="1"/>
  <c r="N598" i="1" s="1"/>
  <c r="L599" i="1"/>
  <c r="N599" i="1" s="1"/>
  <c r="L600" i="1"/>
  <c r="N600" i="1" s="1"/>
  <c r="L601" i="1"/>
  <c r="N601" i="1" s="1"/>
  <c r="L602" i="1"/>
  <c r="N602" i="1" s="1"/>
  <c r="L603" i="1"/>
  <c r="N603" i="1" s="1"/>
  <c r="L604" i="1"/>
  <c r="N604" i="1" s="1"/>
  <c r="L605" i="1"/>
  <c r="N605" i="1" s="1"/>
  <c r="L606" i="1"/>
  <c r="N606" i="1" s="1"/>
  <c r="L607" i="1"/>
  <c r="N607" i="1" s="1"/>
  <c r="L608" i="1"/>
  <c r="N608" i="1" s="1"/>
  <c r="L609" i="1"/>
  <c r="N609" i="1" s="1"/>
  <c r="L610" i="1"/>
  <c r="N610" i="1" s="1"/>
  <c r="L611" i="1"/>
  <c r="N611" i="1" s="1"/>
  <c r="L612" i="1"/>
  <c r="N612" i="1" s="1"/>
  <c r="L613" i="1"/>
  <c r="N613" i="1" s="1"/>
  <c r="L614" i="1"/>
  <c r="N614" i="1" s="1"/>
  <c r="L615" i="1"/>
  <c r="N615" i="1" s="1"/>
  <c r="L616" i="1"/>
  <c r="N616" i="1" s="1"/>
  <c r="L617" i="1"/>
  <c r="N617" i="1" s="1"/>
  <c r="L618" i="1"/>
  <c r="N618" i="1" s="1"/>
  <c r="L619" i="1"/>
  <c r="N619" i="1" s="1"/>
  <c r="L620" i="1"/>
  <c r="N620" i="1" s="1"/>
  <c r="L621" i="1"/>
  <c r="N621" i="1" s="1"/>
  <c r="L622" i="1"/>
  <c r="N622" i="1" s="1"/>
  <c r="L623" i="1"/>
  <c r="N623" i="1" s="1"/>
  <c r="L624" i="1"/>
  <c r="N624" i="1" s="1"/>
  <c r="L625" i="1"/>
  <c r="N625" i="1" s="1"/>
  <c r="L626" i="1"/>
  <c r="N626" i="1" s="1"/>
  <c r="L627" i="1"/>
  <c r="N627" i="1" s="1"/>
  <c r="L628" i="1"/>
  <c r="N628" i="1" s="1"/>
  <c r="L629" i="1"/>
  <c r="N629" i="1" s="1"/>
  <c r="L630" i="1"/>
  <c r="N630" i="1" s="1"/>
  <c r="L631" i="1"/>
  <c r="N631" i="1" s="1"/>
  <c r="L632" i="1"/>
  <c r="N632" i="1" s="1"/>
  <c r="L633" i="1"/>
  <c r="N633" i="1" s="1"/>
  <c r="L634" i="1"/>
  <c r="N634" i="1" s="1"/>
  <c r="L635" i="1"/>
  <c r="N635" i="1" s="1"/>
  <c r="L636" i="1"/>
  <c r="N636" i="1" s="1"/>
  <c r="L637" i="1"/>
  <c r="N637" i="1" s="1"/>
  <c r="L638" i="1"/>
  <c r="N638" i="1" s="1"/>
  <c r="L639" i="1"/>
  <c r="N639" i="1" s="1"/>
  <c r="L640" i="1"/>
  <c r="N640" i="1" s="1"/>
  <c r="L641" i="1"/>
  <c r="N641" i="1" s="1"/>
  <c r="L642" i="1"/>
  <c r="N642" i="1" s="1"/>
  <c r="L643" i="1"/>
  <c r="N643" i="1" s="1"/>
  <c r="L644" i="1"/>
  <c r="N644" i="1" s="1"/>
  <c r="L645" i="1"/>
  <c r="N645" i="1" s="1"/>
  <c r="L646" i="1"/>
  <c r="N646" i="1" s="1"/>
  <c r="L647" i="1"/>
  <c r="N647" i="1" s="1"/>
  <c r="L648" i="1"/>
  <c r="N648" i="1" s="1"/>
  <c r="L649" i="1"/>
  <c r="N649" i="1" s="1"/>
  <c r="L650" i="1"/>
  <c r="N650" i="1" s="1"/>
  <c r="L651" i="1"/>
  <c r="N651" i="1" s="1"/>
  <c r="L652" i="1"/>
  <c r="N652" i="1" s="1"/>
  <c r="L653" i="1"/>
  <c r="N653" i="1" s="1"/>
  <c r="L654" i="1"/>
  <c r="N654" i="1" s="1"/>
  <c r="L655" i="1"/>
  <c r="N655" i="1" s="1"/>
  <c r="L656" i="1"/>
  <c r="N656" i="1" s="1"/>
  <c r="L657" i="1"/>
  <c r="N657" i="1" s="1"/>
  <c r="L658" i="1"/>
  <c r="N658" i="1" s="1"/>
  <c r="L659" i="1"/>
  <c r="N659" i="1" s="1"/>
  <c r="L660" i="1"/>
  <c r="N660" i="1" s="1"/>
  <c r="L661" i="1"/>
  <c r="N661" i="1" s="1"/>
  <c r="L662" i="1"/>
  <c r="N662" i="1" s="1"/>
  <c r="L663" i="1"/>
  <c r="N663" i="1" s="1"/>
  <c r="L664" i="1"/>
  <c r="N664" i="1" s="1"/>
  <c r="L665" i="1"/>
  <c r="N665" i="1" s="1"/>
  <c r="L666" i="1"/>
  <c r="N666" i="1" s="1"/>
  <c r="L667" i="1"/>
  <c r="N667" i="1" s="1"/>
  <c r="L668" i="1"/>
  <c r="N668" i="1" s="1"/>
  <c r="L669" i="1"/>
  <c r="N669" i="1" s="1"/>
  <c r="L670" i="1"/>
  <c r="N670" i="1" s="1"/>
  <c r="L671" i="1"/>
  <c r="N671" i="1" s="1"/>
  <c r="L672" i="1"/>
  <c r="N672" i="1" s="1"/>
  <c r="L673" i="1"/>
  <c r="N673" i="1" s="1"/>
  <c r="L674" i="1"/>
  <c r="N674" i="1" s="1"/>
  <c r="L675" i="1"/>
  <c r="N675" i="1" s="1"/>
  <c r="L676" i="1"/>
  <c r="N676" i="1" s="1"/>
  <c r="L677" i="1"/>
  <c r="N677" i="1" s="1"/>
  <c r="L678" i="1"/>
  <c r="N678" i="1" s="1"/>
  <c r="L679" i="1"/>
  <c r="N679" i="1" s="1"/>
  <c r="L680" i="1"/>
  <c r="N680" i="1" s="1"/>
  <c r="L681" i="1"/>
  <c r="N681" i="1" s="1"/>
  <c r="L682" i="1"/>
  <c r="N682" i="1" s="1"/>
  <c r="L683" i="1"/>
  <c r="N683" i="1" s="1"/>
  <c r="L684" i="1"/>
  <c r="N684" i="1" s="1"/>
  <c r="L685" i="1"/>
  <c r="N685" i="1" s="1"/>
  <c r="L686" i="1"/>
  <c r="N686" i="1" s="1"/>
  <c r="L687" i="1"/>
  <c r="N687" i="1" s="1"/>
  <c r="L688" i="1"/>
  <c r="N688" i="1" s="1"/>
  <c r="L689" i="1"/>
  <c r="N689" i="1" s="1"/>
  <c r="L690" i="1"/>
  <c r="N690" i="1" s="1"/>
  <c r="L691" i="1"/>
  <c r="N691" i="1" s="1"/>
  <c r="L692" i="1"/>
  <c r="N692" i="1" s="1"/>
  <c r="L693" i="1"/>
  <c r="N693" i="1" s="1"/>
  <c r="L694" i="1"/>
  <c r="N694" i="1" s="1"/>
  <c r="L695" i="1"/>
  <c r="N695" i="1" s="1"/>
  <c r="L696" i="1"/>
  <c r="N696" i="1" s="1"/>
  <c r="L697" i="1"/>
  <c r="N697" i="1" s="1"/>
  <c r="L698" i="1"/>
  <c r="N698" i="1" s="1"/>
  <c r="L699" i="1"/>
  <c r="N699" i="1" s="1"/>
  <c r="L700" i="1"/>
  <c r="N700" i="1" s="1"/>
  <c r="L701" i="1"/>
  <c r="N701" i="1" s="1"/>
  <c r="L702" i="1"/>
  <c r="N702" i="1" s="1"/>
  <c r="L703" i="1"/>
  <c r="N703" i="1" s="1"/>
  <c r="L704" i="1"/>
  <c r="N704" i="1" s="1"/>
  <c r="L705" i="1"/>
  <c r="N705" i="1" s="1"/>
  <c r="L706" i="1"/>
  <c r="N706" i="1" s="1"/>
  <c r="L707" i="1"/>
  <c r="N707" i="1" s="1"/>
  <c r="L708" i="1"/>
  <c r="N708" i="1" s="1"/>
  <c r="L709" i="1"/>
  <c r="N709" i="1" s="1"/>
  <c r="L710" i="1"/>
  <c r="N710" i="1" s="1"/>
  <c r="L711" i="1"/>
  <c r="N711" i="1" s="1"/>
  <c r="L712" i="1"/>
  <c r="N712" i="1" s="1"/>
  <c r="L713" i="1"/>
  <c r="N713" i="1" s="1"/>
  <c r="L714" i="1"/>
  <c r="N714" i="1" s="1"/>
  <c r="L715" i="1"/>
  <c r="N715" i="1" s="1"/>
  <c r="L716" i="1"/>
  <c r="N716" i="1" s="1"/>
  <c r="L717" i="1"/>
  <c r="N717" i="1" s="1"/>
  <c r="L718" i="1"/>
  <c r="N718" i="1" s="1"/>
  <c r="L719" i="1"/>
  <c r="N719" i="1" s="1"/>
  <c r="L720" i="1"/>
  <c r="N720" i="1" s="1"/>
  <c r="L721" i="1"/>
  <c r="N721" i="1" s="1"/>
  <c r="L722" i="1"/>
  <c r="N722" i="1" s="1"/>
  <c r="L723" i="1"/>
  <c r="N723" i="1" s="1"/>
  <c r="L724" i="1"/>
  <c r="N724" i="1" s="1"/>
  <c r="L725" i="1"/>
  <c r="N725" i="1" s="1"/>
  <c r="L726" i="1"/>
  <c r="N726" i="1" s="1"/>
  <c r="L727" i="1"/>
  <c r="N727" i="1" s="1"/>
  <c r="L728" i="1"/>
  <c r="N728" i="1" s="1"/>
  <c r="L729" i="1"/>
  <c r="N729" i="1" s="1"/>
  <c r="L730" i="1"/>
  <c r="N730" i="1" s="1"/>
  <c r="L731" i="1"/>
  <c r="N731" i="1" s="1"/>
  <c r="L732" i="1"/>
  <c r="N732" i="1" s="1"/>
  <c r="L733" i="1"/>
  <c r="N733" i="1" s="1"/>
  <c r="L734" i="1"/>
  <c r="N734" i="1" s="1"/>
  <c r="L735" i="1"/>
  <c r="N735" i="1" s="1"/>
  <c r="L736" i="1"/>
  <c r="N736" i="1" s="1"/>
  <c r="L737" i="1"/>
  <c r="N737" i="1" s="1"/>
  <c r="L738" i="1"/>
  <c r="N738" i="1" s="1"/>
  <c r="L739" i="1"/>
  <c r="N739" i="1" s="1"/>
  <c r="L740" i="1"/>
  <c r="N740" i="1" s="1"/>
  <c r="L741" i="1"/>
  <c r="N741" i="1" s="1"/>
  <c r="L742" i="1"/>
  <c r="N742" i="1" s="1"/>
  <c r="L743" i="1"/>
  <c r="N743" i="1" s="1"/>
  <c r="L744" i="1"/>
  <c r="N744" i="1" s="1"/>
  <c r="L745" i="1"/>
  <c r="N745" i="1" s="1"/>
  <c r="L746" i="1"/>
  <c r="N746" i="1" s="1"/>
  <c r="L747" i="1"/>
  <c r="N747" i="1" s="1"/>
  <c r="L748" i="1"/>
  <c r="N748" i="1" s="1"/>
  <c r="L749" i="1"/>
  <c r="N749" i="1" s="1"/>
  <c r="L750" i="1"/>
  <c r="N750" i="1" s="1"/>
  <c r="L751" i="1"/>
  <c r="N751" i="1" s="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N826" i="1" s="1"/>
  <c r="L827" i="1"/>
  <c r="N827" i="1" s="1"/>
  <c r="L828" i="1"/>
  <c r="N828" i="1" s="1"/>
  <c r="L829" i="1"/>
  <c r="N829" i="1" s="1"/>
  <c r="L830" i="1"/>
  <c r="N830" i="1" s="1"/>
  <c r="L831" i="1"/>
  <c r="N831" i="1" s="1"/>
  <c r="L832" i="1"/>
  <c r="N832" i="1" s="1"/>
  <c r="L833" i="1"/>
  <c r="N833" i="1" s="1"/>
  <c r="L834" i="1"/>
  <c r="N834" i="1" s="1"/>
  <c r="L835" i="1"/>
  <c r="N835" i="1" s="1"/>
  <c r="L836" i="1"/>
  <c r="N836" i="1" s="1"/>
  <c r="L837" i="1"/>
  <c r="N837" i="1" s="1"/>
  <c r="L838" i="1"/>
  <c r="N838" i="1" s="1"/>
  <c r="L839" i="1"/>
  <c r="N839" i="1" s="1"/>
  <c r="L840" i="1"/>
  <c r="N840" i="1" s="1"/>
  <c r="L841" i="1"/>
  <c r="N841" i="1" s="1"/>
  <c r="L842" i="1"/>
  <c r="N842" i="1" s="1"/>
  <c r="L843" i="1"/>
  <c r="N843" i="1" s="1"/>
  <c r="L844" i="1"/>
  <c r="N844" i="1" s="1"/>
  <c r="L845" i="1"/>
  <c r="N845" i="1" s="1"/>
  <c r="L846" i="1"/>
  <c r="N846" i="1" s="1"/>
  <c r="L847" i="1"/>
  <c r="N847" i="1" s="1"/>
  <c r="L848" i="1"/>
  <c r="N848" i="1" s="1"/>
  <c r="L849" i="1"/>
  <c r="N849" i="1" s="1"/>
  <c r="L850" i="1"/>
  <c r="N850" i="1" s="1"/>
  <c r="L851" i="1"/>
  <c r="N851" i="1" s="1"/>
  <c r="L852" i="1"/>
  <c r="N852" i="1" s="1"/>
  <c r="L853" i="1"/>
  <c r="N853" i="1" s="1"/>
  <c r="L854" i="1"/>
  <c r="N854" i="1" s="1"/>
  <c r="L855" i="1"/>
  <c r="N855" i="1" s="1"/>
  <c r="L856" i="1"/>
  <c r="N856" i="1" s="1"/>
  <c r="L857" i="1"/>
  <c r="N857" i="1" s="1"/>
  <c r="L858" i="1"/>
  <c r="N858" i="1" s="1"/>
  <c r="L859" i="1"/>
  <c r="N859" i="1" s="1"/>
  <c r="L860" i="1"/>
  <c r="N860" i="1" s="1"/>
  <c r="L861" i="1"/>
  <c r="N861" i="1" s="1"/>
  <c r="L862" i="1"/>
  <c r="N862" i="1" s="1"/>
  <c r="L863" i="1"/>
  <c r="N863" i="1" s="1"/>
  <c r="L864" i="1"/>
  <c r="N864" i="1" s="1"/>
  <c r="L865" i="1"/>
  <c r="N865" i="1" s="1"/>
  <c r="L866" i="1"/>
  <c r="N866" i="1" s="1"/>
  <c r="L867" i="1"/>
  <c r="N867" i="1" s="1"/>
  <c r="L868" i="1"/>
  <c r="N868" i="1" s="1"/>
  <c r="O868" i="1" s="1"/>
  <c r="L869" i="1"/>
  <c r="N869" i="1" s="1"/>
  <c r="L870" i="1"/>
  <c r="N870" i="1" s="1"/>
  <c r="O870" i="1" s="1"/>
  <c r="L871" i="1"/>
  <c r="N871" i="1" s="1"/>
  <c r="L872" i="1"/>
  <c r="N872" i="1" s="1"/>
  <c r="L873" i="1"/>
  <c r="N873" i="1" s="1"/>
  <c r="L874" i="1"/>
  <c r="N874" i="1" s="1"/>
  <c r="L875" i="1"/>
  <c r="N875" i="1" s="1"/>
  <c r="L876" i="1"/>
  <c r="N876" i="1" s="1"/>
  <c r="L877" i="1"/>
  <c r="N877" i="1" s="1"/>
  <c r="L878" i="1"/>
  <c r="N878" i="1" s="1"/>
  <c r="L879" i="1"/>
  <c r="N879" i="1" s="1"/>
  <c r="O879" i="1" s="1"/>
  <c r="L880" i="1"/>
  <c r="N880" i="1" s="1"/>
  <c r="L881" i="1"/>
  <c r="N881" i="1" s="1"/>
  <c r="O881" i="1" s="1"/>
  <c r="L882" i="1"/>
  <c r="N882" i="1" s="1"/>
  <c r="L883" i="1"/>
  <c r="N883" i="1" s="1"/>
  <c r="L884" i="1"/>
  <c r="N884" i="1" s="1"/>
  <c r="O884" i="1" s="1"/>
  <c r="L885" i="1"/>
  <c r="N885" i="1" s="1"/>
  <c r="O885" i="1" s="1"/>
  <c r="L886" i="1"/>
  <c r="N886" i="1" s="1"/>
  <c r="L887" i="1"/>
  <c r="N887" i="1" s="1"/>
  <c r="O887" i="1" s="1"/>
  <c r="L888" i="1"/>
  <c r="N888" i="1" s="1"/>
  <c r="O888" i="1" s="1"/>
  <c r="L889" i="1"/>
  <c r="N889" i="1" s="1"/>
  <c r="L890" i="1"/>
  <c r="N890" i="1" s="1"/>
  <c r="O890" i="1" s="1"/>
  <c r="L891" i="1"/>
  <c r="N891" i="1" s="1"/>
  <c r="L892" i="1"/>
  <c r="N892" i="1" s="1"/>
  <c r="O892" i="1" s="1"/>
  <c r="L893" i="1"/>
  <c r="N893" i="1" s="1"/>
  <c r="O893" i="1" s="1"/>
  <c r="L894" i="1"/>
  <c r="N894" i="1" s="1"/>
  <c r="L895" i="1"/>
  <c r="N895" i="1" s="1"/>
  <c r="O895" i="1" s="1"/>
  <c r="L896" i="1"/>
  <c r="N896" i="1" s="1"/>
  <c r="O896" i="1" s="1"/>
  <c r="L897" i="1"/>
  <c r="N897" i="1" s="1"/>
  <c r="L898" i="1"/>
  <c r="N898" i="1" s="1"/>
  <c r="O898" i="1" s="1"/>
  <c r="L899" i="1"/>
  <c r="N899" i="1" s="1"/>
  <c r="L900" i="1"/>
  <c r="N900" i="1" s="1"/>
  <c r="O900" i="1" s="1"/>
  <c r="L901" i="1"/>
  <c r="N901" i="1" s="1"/>
  <c r="L902" i="1"/>
  <c r="N902" i="1" s="1"/>
  <c r="O902" i="1" s="1"/>
  <c r="L903" i="1"/>
  <c r="N903" i="1" s="1"/>
  <c r="O903" i="1" s="1"/>
  <c r="L904" i="1"/>
  <c r="N904" i="1" s="1"/>
  <c r="L905" i="1"/>
  <c r="N905" i="1" s="1"/>
  <c r="O905" i="1" s="1"/>
  <c r="L906" i="1"/>
  <c r="N906" i="1" s="1"/>
  <c r="O906" i="1" s="1"/>
  <c r="L907" i="1"/>
  <c r="N907" i="1" s="1"/>
  <c r="L908" i="1"/>
  <c r="N908" i="1" s="1"/>
  <c r="O908" i="1" s="1"/>
  <c r="L909" i="1"/>
  <c r="N909" i="1" s="1"/>
  <c r="O909" i="1" s="1"/>
  <c r="L910" i="1"/>
  <c r="N910" i="1" s="1"/>
  <c r="L911" i="1"/>
  <c r="N911" i="1" s="1"/>
  <c r="O911" i="1" s="1"/>
  <c r="L912" i="1"/>
  <c r="N912" i="1" s="1"/>
  <c r="O912" i="1" s="1"/>
  <c r="L913" i="1"/>
  <c r="N913" i="1" s="1"/>
  <c r="L914" i="1"/>
  <c r="N914" i="1" s="1"/>
  <c r="O914" i="1" s="1"/>
  <c r="L915" i="1"/>
  <c r="N915" i="1" s="1"/>
  <c r="O915" i="1" s="1"/>
  <c r="L916" i="1"/>
  <c r="N916" i="1" s="1"/>
  <c r="L917" i="1"/>
  <c r="N917" i="1" s="1"/>
  <c r="O917" i="1" s="1"/>
  <c r="L918" i="1"/>
  <c r="N918" i="1" s="1"/>
  <c r="O918" i="1" s="1"/>
  <c r="L919" i="1"/>
  <c r="N919" i="1" s="1"/>
  <c r="L920" i="1"/>
  <c r="N920" i="1" s="1"/>
  <c r="O920" i="1" s="1"/>
  <c r="L921" i="1"/>
  <c r="N921" i="1" s="1"/>
  <c r="O921" i="1" s="1"/>
  <c r="L922" i="1"/>
  <c r="N922" i="1" s="1"/>
  <c r="L923" i="1"/>
  <c r="N923" i="1" s="1"/>
  <c r="O923" i="1" s="1"/>
  <c r="L924" i="1"/>
  <c r="N924" i="1" s="1"/>
  <c r="O924" i="1" s="1"/>
  <c r="L925" i="1"/>
  <c r="N925" i="1" s="1"/>
  <c r="L926" i="1"/>
  <c r="N926" i="1" s="1"/>
  <c r="O926" i="1" s="1"/>
  <c r="L927" i="1"/>
  <c r="N927" i="1" s="1"/>
  <c r="O927" i="1" s="1"/>
  <c r="L928" i="1"/>
  <c r="N928" i="1" s="1"/>
  <c r="L929" i="1"/>
  <c r="N929" i="1" s="1"/>
  <c r="O929" i="1" s="1"/>
  <c r="L930" i="1"/>
  <c r="N930" i="1" s="1"/>
  <c r="L931" i="1"/>
  <c r="N931" i="1" s="1"/>
  <c r="O931" i="1" s="1"/>
  <c r="L932" i="1"/>
  <c r="N932" i="1" s="1"/>
  <c r="L933" i="1"/>
  <c r="N933" i="1" s="1"/>
  <c r="O933" i="1" s="1"/>
  <c r="L934" i="1"/>
  <c r="N934" i="1" s="1"/>
  <c r="L935" i="1"/>
  <c r="N935" i="1" s="1"/>
  <c r="O935" i="1" s="1"/>
  <c r="L936" i="1"/>
  <c r="N936" i="1" s="1"/>
  <c r="L937" i="1"/>
  <c r="N937" i="1" s="1"/>
  <c r="O937" i="1" s="1"/>
  <c r="L938" i="1"/>
  <c r="N938" i="1" s="1"/>
  <c r="L939" i="1"/>
  <c r="N939" i="1" s="1"/>
  <c r="O939" i="1" s="1"/>
  <c r="L940" i="1"/>
  <c r="N940" i="1" s="1"/>
  <c r="L941" i="1"/>
  <c r="N941" i="1" s="1"/>
  <c r="O941" i="1" s="1"/>
  <c r="L942" i="1"/>
  <c r="N942" i="1" s="1"/>
  <c r="L943" i="1"/>
  <c r="N943" i="1" s="1"/>
  <c r="O943" i="1" s="1"/>
  <c r="L944" i="1"/>
  <c r="N944" i="1" s="1"/>
  <c r="L945" i="1"/>
  <c r="N945" i="1" s="1"/>
  <c r="O945" i="1" s="1"/>
  <c r="L946" i="1"/>
  <c r="N946" i="1" s="1"/>
  <c r="L947" i="1"/>
  <c r="N947" i="1" s="1"/>
  <c r="O947" i="1" s="1"/>
  <c r="L948" i="1"/>
  <c r="N948" i="1" s="1"/>
  <c r="L949" i="1"/>
  <c r="N949" i="1" s="1"/>
  <c r="O949" i="1" s="1"/>
  <c r="L950" i="1"/>
  <c r="N950" i="1" s="1"/>
  <c r="L951" i="1"/>
  <c r="N951" i="1" s="1"/>
  <c r="L952" i="1"/>
  <c r="N952" i="1" s="1"/>
  <c r="O952" i="1" s="1"/>
  <c r="L953" i="1"/>
  <c r="N953" i="1" s="1"/>
  <c r="O953" i="1" s="1"/>
  <c r="L954" i="1"/>
  <c r="N954" i="1" s="1"/>
  <c r="L955" i="1"/>
  <c r="N955" i="1" s="1"/>
  <c r="O955" i="1" s="1"/>
  <c r="L956" i="1"/>
  <c r="N956" i="1" s="1"/>
  <c r="L957" i="1"/>
  <c r="N957" i="1" s="1"/>
  <c r="O957" i="1" s="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958" i="1"/>
  <c r="O958" i="1" s="1"/>
  <c r="N959" i="1"/>
  <c r="N960" i="1"/>
  <c r="O960" i="1" s="1"/>
  <c r="N961" i="1"/>
  <c r="O961" i="1" s="1"/>
  <c r="N962" i="1"/>
  <c r="N963" i="1"/>
  <c r="O963" i="1" s="1"/>
  <c r="N964" i="1"/>
  <c r="O964" i="1" s="1"/>
  <c r="N965" i="1"/>
  <c r="N966" i="1"/>
  <c r="O966" i="1" s="1"/>
  <c r="N967" i="1"/>
  <c r="O967" i="1" s="1"/>
  <c r="N968" i="1"/>
  <c r="N969" i="1"/>
  <c r="O969" i="1" s="1"/>
  <c r="N970" i="1"/>
  <c r="N971" i="1"/>
  <c r="O971" i="1" s="1"/>
  <c r="N972" i="1"/>
  <c r="O972" i="1" s="1"/>
  <c r="N973" i="1"/>
  <c r="N974" i="1"/>
  <c r="O974" i="1" s="1"/>
  <c r="N975" i="1"/>
  <c r="O975" i="1" s="1"/>
  <c r="N976" i="1"/>
  <c r="O976" i="1" s="1"/>
  <c r="N977" i="1"/>
  <c r="N978" i="1"/>
  <c r="O978" i="1" s="1"/>
  <c r="N979" i="1"/>
  <c r="O979" i="1" s="1"/>
  <c r="N980" i="1"/>
  <c r="N981" i="1"/>
  <c r="O981" i="1" s="1"/>
  <c r="N982" i="1"/>
  <c r="O982" i="1" s="1"/>
  <c r="N983" i="1"/>
  <c r="N984" i="1"/>
  <c r="O984" i="1" s="1"/>
  <c r="N985" i="1"/>
  <c r="O985" i="1" s="1"/>
  <c r="N986" i="1"/>
  <c r="N987" i="1"/>
  <c r="O987" i="1" s="1"/>
  <c r="N988" i="1"/>
  <c r="O988" i="1" s="1"/>
  <c r="N989" i="1"/>
  <c r="N2" i="1"/>
  <c r="N3" i="1"/>
  <c r="N4" i="1"/>
  <c r="N5" i="1"/>
  <c r="N6" i="1"/>
  <c r="N7" i="1"/>
  <c r="N8" i="1"/>
  <c r="N9" i="1"/>
  <c r="N10" i="1"/>
  <c r="N11" i="1"/>
  <c r="N12" i="1"/>
  <c r="N13" i="1"/>
  <c r="N14"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E2" i="2"/>
  <c r="E13" i="2"/>
  <c r="E3" i="2"/>
  <c r="E4" i="2"/>
  <c r="E5" i="2"/>
  <c r="E6" i="2"/>
  <c r="E7" i="2"/>
  <c r="E8" i="2"/>
  <c r="E9" i="2"/>
  <c r="B7" i="8" l="1"/>
  <c r="B3" i="7"/>
  <c r="J7" i="8" s="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241" i="1"/>
  <c r="O242" i="1"/>
  <c r="O243" i="1"/>
  <c r="O244" i="1"/>
  <c r="O245" i="1"/>
  <c r="O246" i="1"/>
  <c r="O247" i="1"/>
  <c r="O248" i="1"/>
  <c r="O249" i="1"/>
  <c r="O250" i="1"/>
  <c r="O251" i="1"/>
  <c r="O252" i="1"/>
  <c r="O253" i="1"/>
  <c r="O254" i="1"/>
  <c r="O255" i="1"/>
  <c r="O256" i="1"/>
  <c r="O257" i="1"/>
  <c r="O259" i="1"/>
  <c r="O260" i="1"/>
  <c r="O262" i="1"/>
  <c r="O263" i="1"/>
  <c r="O264" i="1"/>
  <c r="O266" i="1"/>
  <c r="O268" i="1"/>
  <c r="O270" i="1"/>
  <c r="O271" i="1"/>
  <c r="O272" i="1"/>
  <c r="O273" i="1"/>
  <c r="O274" i="1"/>
  <c r="O275" i="1"/>
  <c r="O276" i="1"/>
  <c r="O277" i="1"/>
  <c r="O278" i="1"/>
  <c r="O279" i="1"/>
  <c r="O280" i="1"/>
  <c r="O281" i="1"/>
  <c r="O282" i="1"/>
  <c r="O283" i="1"/>
  <c r="O284" i="1"/>
  <c r="O285" i="1"/>
  <c r="O286" i="1"/>
  <c r="O287" i="1"/>
  <c r="O288" i="1"/>
  <c r="O289" i="1"/>
  <c r="O290" i="1"/>
  <c r="O291" i="1"/>
  <c r="O293" i="1"/>
  <c r="O295" i="1"/>
  <c r="O297" i="1"/>
  <c r="O298" i="1"/>
  <c r="O300" i="1"/>
  <c r="O302" i="1"/>
  <c r="O304" i="1"/>
  <c r="O306" i="1"/>
  <c r="O308" i="1"/>
  <c r="O310" i="1"/>
  <c r="O312" i="1"/>
  <c r="O314" i="1"/>
  <c r="O315" i="1"/>
  <c r="O317" i="1"/>
  <c r="O320" i="1"/>
  <c r="O321" i="1"/>
  <c r="O323" i="1"/>
  <c r="O325" i="1"/>
  <c r="O327" i="1"/>
  <c r="O329" i="1"/>
  <c r="O331" i="1"/>
  <c r="O333" i="1"/>
  <c r="O335" i="1"/>
  <c r="O337" i="1"/>
  <c r="O338" i="1"/>
  <c r="O340" i="1"/>
  <c r="O342" i="1"/>
  <c r="O344" i="1"/>
  <c r="O346" i="1"/>
  <c r="O348" i="1"/>
  <c r="O350" i="1"/>
  <c r="O352" i="1"/>
  <c r="O354" i="1"/>
  <c r="O356" i="1"/>
  <c r="O357" i="1"/>
  <c r="O360" i="1"/>
  <c r="O361" i="1"/>
  <c r="O363" i="1"/>
  <c r="O365" i="1"/>
  <c r="O367" i="1"/>
  <c r="O369" i="1"/>
  <c r="O371" i="1"/>
  <c r="O373" i="1"/>
  <c r="O375" i="1"/>
  <c r="O377" i="1"/>
  <c r="O379" i="1"/>
  <c r="O381" i="1"/>
  <c r="O383" i="1"/>
  <c r="O385" i="1"/>
  <c r="O387" i="1"/>
  <c r="O389" i="1"/>
  <c r="O391" i="1"/>
  <c r="O392" i="1"/>
  <c r="O394" i="1"/>
  <c r="O396" i="1"/>
  <c r="O398" i="1"/>
  <c r="O400" i="1"/>
  <c r="O402" i="1"/>
  <c r="O404" i="1"/>
  <c r="O406" i="1"/>
  <c r="O408" i="1"/>
  <c r="O409" i="1"/>
  <c r="O411" i="1"/>
  <c r="O414" i="1"/>
  <c r="O415" i="1"/>
  <c r="O418" i="1"/>
  <c r="O419" i="1"/>
  <c r="O421" i="1"/>
  <c r="O423" i="1"/>
  <c r="O425" i="1"/>
  <c r="O427" i="1"/>
  <c r="O429" i="1"/>
  <c r="O431" i="1"/>
  <c r="O433" i="1"/>
  <c r="O435" i="1"/>
  <c r="O436" i="1"/>
  <c r="O438" i="1"/>
  <c r="O440" i="1"/>
  <c r="O442" i="1"/>
  <c r="O444" i="1"/>
  <c r="O446" i="1"/>
  <c r="O448" i="1"/>
  <c r="O450" i="1"/>
  <c r="O452" i="1"/>
  <c r="O455" i="1"/>
  <c r="O456" i="1"/>
  <c r="O458" i="1"/>
  <c r="O460" i="1"/>
  <c r="O462" i="1"/>
  <c r="O463" i="1"/>
  <c r="O464" i="1"/>
  <c r="O465" i="1"/>
  <c r="O466" i="1"/>
  <c r="O467" i="1"/>
  <c r="O468" i="1"/>
  <c r="O469" i="1"/>
  <c r="O470" i="1"/>
  <c r="O471" i="1"/>
  <c r="O472" i="1"/>
  <c r="O473" i="1"/>
  <c r="O474" i="1"/>
  <c r="O475" i="1"/>
  <c r="O476" i="1"/>
  <c r="O477" i="1"/>
  <c r="O479" i="1"/>
  <c r="O480" i="1"/>
  <c r="O482" i="1"/>
  <c r="O485" i="1"/>
  <c r="O487" i="1"/>
  <c r="O488" i="1"/>
  <c r="O490" i="1"/>
  <c r="O492" i="1"/>
  <c r="O494"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58" i="1"/>
  <c r="O261" i="1"/>
  <c r="O265" i="1"/>
  <c r="O267" i="1"/>
  <c r="O269" i="1"/>
  <c r="O292" i="1"/>
  <c r="O294" i="1"/>
  <c r="O296" i="1"/>
  <c r="O299" i="1"/>
  <c r="O301" i="1"/>
  <c r="O303" i="1"/>
  <c r="O305" i="1"/>
  <c r="O307" i="1"/>
  <c r="O309" i="1"/>
  <c r="O311" i="1"/>
  <c r="O313" i="1"/>
  <c r="O316" i="1"/>
  <c r="O318" i="1"/>
  <c r="O319" i="1"/>
  <c r="O322" i="1"/>
  <c r="O324" i="1"/>
  <c r="O326" i="1"/>
  <c r="O328" i="1"/>
  <c r="O330" i="1"/>
  <c r="O332" i="1"/>
  <c r="O334" i="1"/>
  <c r="O336" i="1"/>
  <c r="O339" i="1"/>
  <c r="O341" i="1"/>
  <c r="O343" i="1"/>
  <c r="O345" i="1"/>
  <c r="O347" i="1"/>
  <c r="O349" i="1"/>
  <c r="O351" i="1"/>
  <c r="O353" i="1"/>
  <c r="O355" i="1"/>
  <c r="O358" i="1"/>
  <c r="O359" i="1"/>
  <c r="O362" i="1"/>
  <c r="O364" i="1"/>
  <c r="O366" i="1"/>
  <c r="O368" i="1"/>
  <c r="O370" i="1"/>
  <c r="O372" i="1"/>
  <c r="O374" i="1"/>
  <c r="O376" i="1"/>
  <c r="O378" i="1"/>
  <c r="O380" i="1"/>
  <c r="O382" i="1"/>
  <c r="O384" i="1"/>
  <c r="O386" i="1"/>
  <c r="O388" i="1"/>
  <c r="O390" i="1"/>
  <c r="O393" i="1"/>
  <c r="O395" i="1"/>
  <c r="O397" i="1"/>
  <c r="O399" i="1"/>
  <c r="O401" i="1"/>
  <c r="O403" i="1"/>
  <c r="O405" i="1"/>
  <c r="O407" i="1"/>
  <c r="O410" i="1"/>
  <c r="O412" i="1"/>
  <c r="O413" i="1"/>
  <c r="O416" i="1"/>
  <c r="O417" i="1"/>
  <c r="O420" i="1"/>
  <c r="O422" i="1"/>
  <c r="O424" i="1"/>
  <c r="O426" i="1"/>
  <c r="O428" i="1"/>
  <c r="O430" i="1"/>
  <c r="O432" i="1"/>
  <c r="O434" i="1"/>
  <c r="O437" i="1"/>
  <c r="O439" i="1"/>
  <c r="O441" i="1"/>
  <c r="O443" i="1"/>
  <c r="O445" i="1"/>
  <c r="O447" i="1"/>
  <c r="O449" i="1"/>
  <c r="O451" i="1"/>
  <c r="O453" i="1"/>
  <c r="O454" i="1"/>
  <c r="O457" i="1"/>
  <c r="O459" i="1"/>
  <c r="O461" i="1"/>
  <c r="O478" i="1"/>
  <c r="O481" i="1"/>
  <c r="O483" i="1"/>
  <c r="O484" i="1"/>
  <c r="O486" i="1"/>
  <c r="O489" i="1"/>
  <c r="O491" i="1"/>
  <c r="O493" i="1"/>
  <c r="O867" i="1"/>
  <c r="O869" i="1"/>
  <c r="O871" i="1"/>
  <c r="O872" i="1"/>
  <c r="O873" i="1"/>
  <c r="O874" i="1"/>
  <c r="O875" i="1"/>
  <c r="O876" i="1"/>
  <c r="O877" i="1"/>
  <c r="O878" i="1"/>
  <c r="O880" i="1"/>
  <c r="O882" i="1"/>
  <c r="O883" i="1"/>
  <c r="O886" i="1"/>
  <c r="O889" i="1"/>
  <c r="O891" i="1"/>
  <c r="O894" i="1"/>
  <c r="O897" i="1"/>
  <c r="O899" i="1"/>
  <c r="O901" i="1"/>
  <c r="O904" i="1"/>
  <c r="O907" i="1"/>
  <c r="O910" i="1"/>
  <c r="O913" i="1"/>
  <c r="O916" i="1"/>
  <c r="O919" i="1"/>
  <c r="O922" i="1"/>
  <c r="O925" i="1"/>
  <c r="O928" i="1"/>
  <c r="O930" i="1"/>
  <c r="O932" i="1"/>
  <c r="O934" i="1"/>
  <c r="O936" i="1"/>
  <c r="O938" i="1"/>
  <c r="O940" i="1"/>
  <c r="O942" i="1"/>
  <c r="O944" i="1"/>
  <c r="O946" i="1"/>
  <c r="O948" i="1"/>
  <c r="O950" i="1"/>
  <c r="O951" i="1"/>
  <c r="O954" i="1"/>
  <c r="O956" i="1"/>
  <c r="O959" i="1"/>
  <c r="O962" i="1"/>
  <c r="O965" i="1"/>
  <c r="O968" i="1"/>
  <c r="O970" i="1"/>
  <c r="O973" i="1"/>
  <c r="O977" i="1"/>
  <c r="O980" i="1"/>
  <c r="O983" i="1"/>
  <c r="O986" i="1"/>
  <c r="O989" i="1"/>
  <c r="O156" i="1"/>
  <c r="N990"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2" i="1"/>
  <c r="M990" i="1"/>
  <c r="E11" i="2"/>
  <c r="O990" i="1" l="1"/>
</calcChain>
</file>

<file path=xl/sharedStrings.xml><?xml version="1.0" encoding="utf-8"?>
<sst xmlns="http://schemas.openxmlformats.org/spreadsheetml/2006/main" count="5080" uniqueCount="1151">
  <si>
    <t>OrderID</t>
  </si>
  <si>
    <t>OrderDate</t>
  </si>
  <si>
    <t>Customer</t>
  </si>
  <si>
    <t>Region</t>
  </si>
  <si>
    <t>SalesRep</t>
  </si>
  <si>
    <t>ProductID</t>
  </si>
  <si>
    <t>Quantity</t>
  </si>
  <si>
    <t>UnitPrice</t>
  </si>
  <si>
    <t>Discount</t>
  </si>
  <si>
    <t>ORD3873</t>
  </si>
  <si>
    <t>Customer 003</t>
  </si>
  <si>
    <t>South</t>
  </si>
  <si>
    <t>Vikas Patel</t>
  </si>
  <si>
    <t>P107</t>
  </si>
  <si>
    <t>ORD3409</t>
  </si>
  <si>
    <t>Customer 026</t>
  </si>
  <si>
    <t>East</t>
  </si>
  <si>
    <t>Deepak Singh</t>
  </si>
  <si>
    <t>P102</t>
  </si>
  <si>
    <t>ORD3346</t>
  </si>
  <si>
    <t>Customer 050</t>
  </si>
  <si>
    <t>North</t>
  </si>
  <si>
    <t>Rahul Sharma</t>
  </si>
  <si>
    <t>P105</t>
  </si>
  <si>
    <t>ORD3315</t>
  </si>
  <si>
    <t>Customer 018</t>
  </si>
  <si>
    <t>ORD3533</t>
  </si>
  <si>
    <t>Customer 021</t>
  </si>
  <si>
    <t>Anita Verma</t>
  </si>
  <si>
    <t>ORD3304</t>
  </si>
  <si>
    <t>Customer 057</t>
  </si>
  <si>
    <t>ORD3461</t>
  </si>
  <si>
    <t>Customer 019</t>
  </si>
  <si>
    <t>Priya Kumar</t>
  </si>
  <si>
    <t>P101</t>
  </si>
  <si>
    <t>ORD3471</t>
  </si>
  <si>
    <t>Customer 036</t>
  </si>
  <si>
    <t>ORD3707</t>
  </si>
  <si>
    <t>Customer 001</t>
  </si>
  <si>
    <t>West</t>
  </si>
  <si>
    <t>Amit Shah</t>
  </si>
  <si>
    <t>ORD3942</t>
  </si>
  <si>
    <t>Customer 059</t>
  </si>
  <si>
    <t>P108</t>
  </si>
  <si>
    <t>ORD3029</t>
  </si>
  <si>
    <t>Customer 031</t>
  </si>
  <si>
    <t>Sunita Gupta</t>
  </si>
  <si>
    <t>ORD3278</t>
  </si>
  <si>
    <t>Customer 055</t>
  </si>
  <si>
    <t>ORD3262</t>
  </si>
  <si>
    <t>Customer 032</t>
  </si>
  <si>
    <t>ORD3790</t>
  </si>
  <si>
    <t>Customer 042</t>
  </si>
  <si>
    <t>ORD3173</t>
  </si>
  <si>
    <t>Customer 041</t>
  </si>
  <si>
    <t>P104</t>
  </si>
  <si>
    <t>ORD3334</t>
  </si>
  <si>
    <t>Customer 053</t>
  </si>
  <si>
    <t>ORD3845</t>
  </si>
  <si>
    <t>Customer 029</t>
  </si>
  <si>
    <t>ORD3048</t>
  </si>
  <si>
    <t>Customer 002</t>
  </si>
  <si>
    <t>ORD3610</t>
  </si>
  <si>
    <t>Customer 052</t>
  </si>
  <si>
    <t>P106</t>
  </si>
  <si>
    <t>ORD3769</t>
  </si>
  <si>
    <t>Customer 016</t>
  </si>
  <si>
    <t>ORD3140</t>
  </si>
  <si>
    <t>Customer 049</t>
  </si>
  <si>
    <t>P103</t>
  </si>
  <si>
    <t>ORD3385</t>
  </si>
  <si>
    <t>Customer 037</t>
  </si>
  <si>
    <t>ORD3251</t>
  </si>
  <si>
    <t>Customer 058</t>
  </si>
  <si>
    <t>ORD3846</t>
  </si>
  <si>
    <t>ORD3067</t>
  </si>
  <si>
    <t>Neha Reddy</t>
  </si>
  <si>
    <t>ORD3149</t>
  </si>
  <si>
    <t>Customer 009</t>
  </si>
  <si>
    <t>ORD3439</t>
  </si>
  <si>
    <t>Customer 060</t>
  </si>
  <si>
    <t>ORD3719</t>
  </si>
  <si>
    <t>Customer 038</t>
  </si>
  <si>
    <t>ORD3414</t>
  </si>
  <si>
    <t>ORD3133</t>
  </si>
  <si>
    <t>Customer 044</t>
  </si>
  <si>
    <t>ORD3997</t>
  </si>
  <si>
    <t>ORD3677</t>
  </si>
  <si>
    <t>ORD3985</t>
  </si>
  <si>
    <t>ORD3819</t>
  </si>
  <si>
    <t>Customer 030</t>
  </si>
  <si>
    <t>ORD3177</t>
  </si>
  <si>
    <t>ORD3603</t>
  </si>
  <si>
    <t>ORD3280</t>
  </si>
  <si>
    <t>ORD3555</t>
  </si>
  <si>
    <t>ORD3179</t>
  </si>
  <si>
    <t>ORD3396</t>
  </si>
  <si>
    <t>Customer 014</t>
  </si>
  <si>
    <t>ORD3879</t>
  </si>
  <si>
    <t>Customer 006</t>
  </si>
  <si>
    <t>ORD3170</t>
  </si>
  <si>
    <t>ORD3596</t>
  </si>
  <si>
    <t>ORD3343</t>
  </si>
  <si>
    <t>Customer 010</t>
  </si>
  <si>
    <t>ORD3634</t>
  </si>
  <si>
    <t>Customer 035</t>
  </si>
  <si>
    <t>ORD3785</t>
  </si>
  <si>
    <t>Customer 028</t>
  </si>
  <si>
    <t>ORD3749</t>
  </si>
  <si>
    <t>ORD3096</t>
  </si>
  <si>
    <t>ORD3300</t>
  </si>
  <si>
    <t>ORD3353</t>
  </si>
  <si>
    <t>ORD3886</t>
  </si>
  <si>
    <t>Customer 039</t>
  </si>
  <si>
    <t>ORD3686</t>
  </si>
  <si>
    <t>Customer 045</t>
  </si>
  <si>
    <t>ORD3324</t>
  </si>
  <si>
    <t>Customer 023</t>
  </si>
  <si>
    <t>ORD3762</t>
  </si>
  <si>
    <t>ORD3583</t>
  </si>
  <si>
    <t>ORD3728</t>
  </si>
  <si>
    <t>Customer 013</t>
  </si>
  <si>
    <t>ORD3055</t>
  </si>
  <si>
    <t>Customer 056</t>
  </si>
  <si>
    <t>ORD3065</t>
  </si>
  <si>
    <t>ORD3598</t>
  </si>
  <si>
    <t>ORD3745</t>
  </si>
  <si>
    <t>ORD3849</t>
  </si>
  <si>
    <t>ORD3459</t>
  </si>
  <si>
    <t>ORD3538</t>
  </si>
  <si>
    <t>Customer 005</t>
  </si>
  <si>
    <t>ORD3290</t>
  </si>
  <si>
    <t>Customer 011</t>
  </si>
  <si>
    <t>ORD3747</t>
  </si>
  <si>
    <t>ORD3828</t>
  </si>
  <si>
    <t>Customer 022</t>
  </si>
  <si>
    <t>Customer 004</t>
  </si>
  <si>
    <t>ORD3959</t>
  </si>
  <si>
    <t>Customer 054</t>
  </si>
  <si>
    <t>ORD3420</t>
  </si>
  <si>
    <t>ORD3795</t>
  </si>
  <si>
    <t>ORD3663</t>
  </si>
  <si>
    <t>ORD3489</t>
  </si>
  <si>
    <t>ORD3737</t>
  </si>
  <si>
    <t>Customer 012</t>
  </si>
  <si>
    <t>ORD3190</t>
  </si>
  <si>
    <t>ORD3229</t>
  </si>
  <si>
    <t>ORD3629</t>
  </si>
  <si>
    <t>ORD3433</t>
  </si>
  <si>
    <t>Customer 048</t>
  </si>
  <si>
    <t>ORD3341</t>
  </si>
  <si>
    <t>Customer 033</t>
  </si>
  <si>
    <t>ORD3945</t>
  </si>
  <si>
    <t>Customer 040</t>
  </si>
  <si>
    <t>ORD3041</t>
  </si>
  <si>
    <t>Customer 017</t>
  </si>
  <si>
    <t>ORD3331</t>
  </si>
  <si>
    <t>ORD3929</t>
  </si>
  <si>
    <t>Customer 047</t>
  </si>
  <si>
    <t>ORD3181</t>
  </si>
  <si>
    <t>Customer 027</t>
  </si>
  <si>
    <t>ORD3808</t>
  </si>
  <si>
    <t>Customer 024</t>
  </si>
  <si>
    <t>ORD3820</t>
  </si>
  <si>
    <t>ORD3789</t>
  </si>
  <si>
    <t>ORD3132</t>
  </si>
  <si>
    <t>ORD3522</t>
  </si>
  <si>
    <t>ORD3038</t>
  </si>
  <si>
    <t>ORD3527</t>
  </si>
  <si>
    <t>ORD3840</t>
  </si>
  <si>
    <t>ORD3002</t>
  </si>
  <si>
    <t>Customer 020</t>
  </si>
  <si>
    <t>ORD3236</t>
  </si>
  <si>
    <t>ORD3114</t>
  </si>
  <si>
    <t>ORD3814</t>
  </si>
  <si>
    <t>Customer 025</t>
  </si>
  <si>
    <t>ORD3476</t>
  </si>
  <si>
    <t>ORD3768</t>
  </si>
  <si>
    <t>ORD3509</t>
  </si>
  <si>
    <t>ORD3868</t>
  </si>
  <si>
    <t>ORD3812</t>
  </si>
  <si>
    <t>ORD3472</t>
  </si>
  <si>
    <t>ORD3307</t>
  </si>
  <si>
    <t>ORD3494</t>
  </si>
  <si>
    <t>ORD3870</t>
  </si>
  <si>
    <t>ORD3100</t>
  </si>
  <si>
    <t>ORD3348</t>
  </si>
  <si>
    <t>ORD3957</t>
  </si>
  <si>
    <t>ORD3901</t>
  </si>
  <si>
    <t>ORD3645</t>
  </si>
  <si>
    <t>ORD3672</t>
  </si>
  <si>
    <t>ORD3381</t>
  </si>
  <si>
    <t>ORD3933</t>
  </si>
  <si>
    <t>ORD3871</t>
  </si>
  <si>
    <t>ORD3955</t>
  </si>
  <si>
    <t>Customer 034</t>
  </si>
  <si>
    <t>ORD3462</t>
  </si>
  <si>
    <t>ORD3198</t>
  </si>
  <si>
    <t>ORD3579</t>
  </si>
  <si>
    <t>ORD3323</t>
  </si>
  <si>
    <t>ORD3911</t>
  </si>
  <si>
    <t>ORD3993</t>
  </si>
  <si>
    <t>ORD3637</t>
  </si>
  <si>
    <t>ORD3160</t>
  </si>
  <si>
    <t>ORD3631</t>
  </si>
  <si>
    <t>ORD3001</t>
  </si>
  <si>
    <t>ORD3206</t>
  </si>
  <si>
    <t>Customer 043</t>
  </si>
  <si>
    <t>ORD3107</t>
  </si>
  <si>
    <t>ORD3833</t>
  </si>
  <si>
    <t>ORD3056</t>
  </si>
  <si>
    <t>ORD3255</t>
  </si>
  <si>
    <t>ORD3407</t>
  </si>
  <si>
    <t>ORD3431</t>
  </si>
  <si>
    <t>ORD3709</t>
  </si>
  <si>
    <t>ORD3448</t>
  </si>
  <si>
    <t>ORD3823</t>
  </si>
  <si>
    <t>ORD3104</t>
  </si>
  <si>
    <t>ORD3724</t>
  </si>
  <si>
    <t>ORD3095</t>
  </si>
  <si>
    <t>ORD3026</t>
  </si>
  <si>
    <t>ORD3501</t>
  </si>
  <si>
    <t>P199</t>
  </si>
  <si>
    <t>ORD3922</t>
  </si>
  <si>
    <t>ORD3072</t>
  </si>
  <si>
    <t>ORD3657</t>
  </si>
  <si>
    <t>ORD3963</t>
  </si>
  <si>
    <t>ORD3829</t>
  </si>
  <si>
    <t>ORD3214</t>
  </si>
  <si>
    <t>Customer 051</t>
  </si>
  <si>
    <t>ORD3850</t>
  </si>
  <si>
    <t>ORD3774</t>
  </si>
  <si>
    <t>ORD3081</t>
  </si>
  <si>
    <t>ORD3437</t>
  </si>
  <si>
    <t>ORD3800</t>
  </si>
  <si>
    <t>ORD3037</t>
  </si>
  <si>
    <t>ORD3641</t>
  </si>
  <si>
    <t>ORD3505</t>
  </si>
  <si>
    <t>Customer 046</t>
  </si>
  <si>
    <t>ORD3966</t>
  </si>
  <si>
    <t>ORD3950</t>
  </si>
  <si>
    <t>ORD3418</t>
  </si>
  <si>
    <t>ORD3969</t>
  </si>
  <si>
    <t>ORD3958</t>
  </si>
  <si>
    <t>ORD3302</t>
  </si>
  <si>
    <t>Customer 007</t>
  </si>
  <si>
    <t>ORD3558</t>
  </si>
  <si>
    <t>ORD3878</t>
  </si>
  <si>
    <t>ORD3532</t>
  </si>
  <si>
    <t>ORD3233</t>
  </si>
  <si>
    <t>ORD3234</t>
  </si>
  <si>
    <t>ORD3115</t>
  </si>
  <si>
    <t>ORD3615</t>
  </si>
  <si>
    <t>ORD3246</t>
  </si>
  <si>
    <t>ORD3902</t>
  </si>
  <si>
    <t>ORD3513</t>
  </si>
  <si>
    <t>ORD3989</t>
  </si>
  <si>
    <t>ORD3914</t>
  </si>
  <si>
    <t>ORD3535</t>
  </si>
  <si>
    <t>ORD3915</t>
  </si>
  <si>
    <t>ORD3398</t>
  </si>
  <si>
    <t>Customer 008</t>
  </si>
  <si>
    <t>ORD3063</t>
  </si>
  <si>
    <t>ORD3250</t>
  </si>
  <si>
    <t>ORD3792</t>
  </si>
  <si>
    <t>ORD3953</t>
  </si>
  <si>
    <t>ORD3305</t>
  </si>
  <si>
    <t>ORD3694</t>
  </si>
  <si>
    <t>ORD3054</t>
  </si>
  <si>
    <t>ORD3595</t>
  </si>
  <si>
    <t>ORD3918</t>
  </si>
  <si>
    <t>ORD3983</t>
  </si>
  <si>
    <t>ORD3176</t>
  </si>
  <si>
    <t>ORD3408</t>
  </si>
  <si>
    <t>ORD3144</t>
  </si>
  <si>
    <t>ORD3087</t>
  </si>
  <si>
    <t>ORD3582</t>
  </si>
  <si>
    <t>ORD3479</t>
  </si>
  <si>
    <t>ORD3147</t>
  </si>
  <si>
    <t>ORD3361</t>
  </si>
  <si>
    <t>ORD3497</t>
  </si>
  <si>
    <t>ORD3429</t>
  </si>
  <si>
    <t>ORD4000</t>
  </si>
  <si>
    <t>ORD3162</t>
  </si>
  <si>
    <t>ORD3876</t>
  </si>
  <si>
    <t>ORD3639</t>
  </si>
  <si>
    <t>ORD3759</t>
  </si>
  <si>
    <t>ORD3502</t>
  </si>
  <si>
    <t>ORD3191</t>
  </si>
  <si>
    <t>ORD3880</t>
  </si>
  <si>
    <t>ORD3139</t>
  </si>
  <si>
    <t>ORD3112</t>
  </si>
  <si>
    <t>ORD3667</t>
  </si>
  <si>
    <t>ORD3089</t>
  </si>
  <si>
    <t>ORD3211</t>
  </si>
  <si>
    <t>ORD3511</t>
  </si>
  <si>
    <t>ORD3050</t>
  </si>
  <si>
    <t>ORD3221</t>
  </si>
  <si>
    <t>ORD3852</t>
  </si>
  <si>
    <t>ORD3175</t>
  </si>
  <si>
    <t>ORD3735</t>
  </si>
  <si>
    <t>ORD3322</t>
  </si>
  <si>
    <t>ORD3770</t>
  </si>
  <si>
    <t>ORD3222</t>
  </si>
  <si>
    <t>ORD3102</t>
  </si>
  <si>
    <t>ORD3239</t>
  </si>
  <si>
    <t>ORD3832</t>
  </si>
  <si>
    <t>ORD3051</t>
  </si>
  <si>
    <t>ORD3227</t>
  </si>
  <si>
    <t>ORD3897</t>
  </si>
  <si>
    <t>ORD3196</t>
  </si>
  <si>
    <t>ORD3238</t>
  </si>
  <si>
    <t>ORD3245</t>
  </si>
  <si>
    <t>ORD3801</t>
  </si>
  <si>
    <t>ORD3264</t>
  </si>
  <si>
    <t>ORD3253</t>
  </si>
  <si>
    <t>ORD3861</t>
  </si>
  <si>
    <t>ORD3755</t>
  </si>
  <si>
    <t>ORD3894</t>
  </si>
  <si>
    <t>ORD3960</t>
  </si>
  <si>
    <t>ORD3799</t>
  </si>
  <si>
    <t>ORD3692</t>
  </si>
  <si>
    <t>ORD3760</t>
  </si>
  <si>
    <t>ORD3733</t>
  </si>
  <si>
    <t>ORD3129</t>
  </si>
  <si>
    <t>ORD3377</t>
  </si>
  <si>
    <t>ORD3775</t>
  </si>
  <si>
    <t>ORD3281</t>
  </si>
  <si>
    <t>ORD3201</t>
  </si>
  <si>
    <t>ORD3554</t>
  </si>
  <si>
    <t>ORD3123</t>
  </si>
  <si>
    <t>ORD3383</t>
  </si>
  <si>
    <t>ORD3703</t>
  </si>
  <si>
    <t>Customer 015</t>
  </si>
  <si>
    <t>ORD3366</t>
  </si>
  <si>
    <t>ORD3218</t>
  </si>
  <si>
    <t>ORD3049</t>
  </si>
  <si>
    <t>ORD3793</t>
  </si>
  <si>
    <t>ORD3430</t>
  </si>
  <si>
    <t>ORD3941</t>
  </si>
  <si>
    <t>ORD3441</t>
  </si>
  <si>
    <t>ORD3046</t>
  </si>
  <si>
    <t>ORD3730</t>
  </si>
  <si>
    <t>ORD3066</t>
  </si>
  <si>
    <t>ORD3642</t>
  </si>
  <si>
    <t>ORD3653</t>
  </si>
  <si>
    <t>ORD3035</t>
  </si>
  <si>
    <t>ORD3734</t>
  </si>
  <si>
    <t>ORD3613</t>
  </si>
  <si>
    <t>ORD3113</t>
  </si>
  <si>
    <t>ORD3761</t>
  </si>
  <si>
    <t>ORD3787</t>
  </si>
  <si>
    <t>ORD3932</t>
  </si>
  <si>
    <t>ORD3948</t>
  </si>
  <si>
    <t>ORD3490</t>
  </si>
  <si>
    <t>ORD3620</t>
  </si>
  <si>
    <t>ORD3406</t>
  </si>
  <si>
    <t>ORD3757</t>
  </si>
  <si>
    <t>ORD3197</t>
  </si>
  <si>
    <t>ORD3701</t>
  </si>
  <si>
    <t>ORD3766</t>
  </si>
  <si>
    <t>ORD3816</t>
  </si>
  <si>
    <t>ORD3076</t>
  </si>
  <si>
    <t>ORD3021</t>
  </si>
  <si>
    <t>ORD3354</t>
  </si>
  <si>
    <t>ORD3376</t>
  </si>
  <si>
    <t>ORD3643</t>
  </si>
  <si>
    <t>ORD3803</t>
  </si>
  <si>
    <t>ORD3402</t>
  </si>
  <si>
    <t>ORD3004</t>
  </si>
  <si>
    <t>ORD3807</t>
  </si>
  <si>
    <t>ORD3679</t>
  </si>
  <si>
    <t>ORD3773</t>
  </si>
  <si>
    <t>ORD3691</t>
  </si>
  <si>
    <t>ORD3328</t>
  </si>
  <si>
    <t>ORD3908</t>
  </si>
  <si>
    <t>ORD3605</t>
  </si>
  <si>
    <t>ORD3710</t>
  </si>
  <si>
    <t>ORD3027</t>
  </si>
  <si>
    <t>ORD3249</t>
  </si>
  <si>
    <t>ORD3174</t>
  </si>
  <si>
    <t>ORD3350</t>
  </si>
  <si>
    <t>ORD3231</t>
  </si>
  <si>
    <t>ORD3732</t>
  </si>
  <si>
    <t>ORD3120</t>
  </si>
  <si>
    <t>ORD3925</t>
  </si>
  <si>
    <t>ORD3889</t>
  </si>
  <si>
    <t>ORD3626</t>
  </si>
  <si>
    <t>ORD3939</t>
  </si>
  <si>
    <t>ORD3077</t>
  </si>
  <si>
    <t>ORD3036</t>
  </si>
  <si>
    <t>ORD3874</t>
  </si>
  <si>
    <t>ORD3990</t>
  </si>
  <si>
    <t>ORD3905</t>
  </si>
  <si>
    <t>ORD3740</t>
  </si>
  <si>
    <t>ORD3411</t>
  </si>
  <si>
    <t>ORD3857</t>
  </si>
  <si>
    <t>ORD3045</t>
  </si>
  <si>
    <t>ORD3597</t>
  </si>
  <si>
    <t>ORD3403</t>
  </si>
  <si>
    <t>ORD3153</t>
  </si>
  <si>
    <t>ORD3754</t>
  </si>
  <si>
    <t>ORD3382</t>
  </si>
  <si>
    <t>ORD3665</t>
  </si>
  <si>
    <t>ORD3042</t>
  </si>
  <si>
    <t>ORD3293</t>
  </si>
  <si>
    <t>ORD3338</t>
  </si>
  <si>
    <t>ORD3404</t>
  </si>
  <si>
    <t>ORD3275</t>
  </si>
  <si>
    <t>ORD3986</t>
  </si>
  <si>
    <t>ORD3537</t>
  </si>
  <si>
    <t>ORD3094</t>
  </si>
  <si>
    <t>ORD3996</t>
  </si>
  <si>
    <t>ORD3654</t>
  </si>
  <si>
    <t>ORD3421</t>
  </si>
  <si>
    <t>ORD3750</t>
  </si>
  <si>
    <t>ORD3265</t>
  </si>
  <si>
    <t>ORD3163</t>
  </si>
  <si>
    <t>ORD3676</t>
  </si>
  <si>
    <t>ORD3440</t>
  </si>
  <si>
    <t>ORD3200</t>
  </si>
  <si>
    <t>ORD3514</t>
  </si>
  <si>
    <t>ORD3661</t>
  </si>
  <si>
    <t>ORD3356</t>
  </si>
  <si>
    <t>ORD3687</t>
  </si>
  <si>
    <t>ORD3340</t>
  </si>
  <si>
    <t>ORD3995</t>
  </si>
  <si>
    <t>ORD3574</t>
  </si>
  <si>
    <t>ORD3484</t>
  </si>
  <si>
    <t>ORD3776</t>
  </si>
  <si>
    <t>ORD3146</t>
  </si>
  <si>
    <t>ORD3887</t>
  </si>
  <si>
    <t>ORD3326</t>
  </si>
  <si>
    <t>ORD3668</t>
  </si>
  <si>
    <t>ORD3410</t>
  </si>
  <si>
    <t>ORD3576</t>
  </si>
  <si>
    <t>ORD3130</t>
  </si>
  <si>
    <t>ORD3717</t>
  </si>
  <si>
    <t>ORD3488</t>
  </si>
  <si>
    <t>ORD3979</t>
  </si>
  <si>
    <t>ORD3725</t>
  </si>
  <si>
    <t>ORD3447</t>
  </si>
  <si>
    <t>ORD3467</t>
  </si>
  <si>
    <t>ORD3150</t>
  </si>
  <si>
    <t>ORD3455</t>
  </si>
  <si>
    <t>ORD3712</t>
  </si>
  <si>
    <t>ORD3856</t>
  </si>
  <si>
    <t>ORD3551</t>
  </si>
  <si>
    <t>ORD3972</t>
  </si>
  <si>
    <t>ORD3640</t>
  </si>
  <si>
    <t>ORD3883</t>
  </si>
  <si>
    <t>ORD3267</t>
  </si>
  <si>
    <t>ORD3106</t>
  </si>
  <si>
    <t>ORD3165</t>
  </si>
  <si>
    <t>ORD3318</t>
  </si>
  <si>
    <t>ORD3192</t>
  </si>
  <si>
    <t>ORD3895</t>
  </si>
  <si>
    <t>ORD3125</t>
  </si>
  <si>
    <t>ORD3689</t>
  </si>
  <si>
    <t>ORD3636</t>
  </si>
  <si>
    <t>ORD3142</t>
  </si>
  <si>
    <t>ORD3635</t>
  </si>
  <si>
    <t>ORD3159</t>
  </si>
  <si>
    <t>ORD3145</t>
  </si>
  <si>
    <t>ORD3025</t>
  </si>
  <si>
    <t>ORD3681</t>
  </si>
  <si>
    <t>ORD3616</t>
  </si>
  <si>
    <t>ORD3342</t>
  </si>
  <si>
    <t>ORD3256</t>
  </si>
  <si>
    <t>ORD3093</t>
  </si>
  <si>
    <t>ORD3855</t>
  </si>
  <si>
    <t>ORD3425</t>
  </si>
  <si>
    <t>ORD3844</t>
  </si>
  <si>
    <t>ORD3791</t>
  </si>
  <si>
    <t>ORD3452</t>
  </si>
  <si>
    <t>ORD3019</t>
  </si>
  <si>
    <t>ORD3319</t>
  </si>
  <si>
    <t>ORD3625</t>
  </si>
  <si>
    <t>ORD3777</t>
  </si>
  <si>
    <t>ORD3506</t>
  </si>
  <si>
    <t>ORD3199</t>
  </si>
  <si>
    <t>ORD3443</t>
  </si>
  <si>
    <t>ORD3806</t>
  </si>
  <si>
    <t>ORD3349</t>
  </si>
  <si>
    <t>ORD3917</t>
  </si>
  <si>
    <t>ORD3010</t>
  </si>
  <si>
    <t>ORD3893</t>
  </si>
  <si>
    <t>ORD3169</t>
  </si>
  <si>
    <t>ORD3767</t>
  </si>
  <si>
    <t>ORD3867</t>
  </si>
  <si>
    <t>ORD3859</t>
  </si>
  <si>
    <t>ORD3187</t>
  </si>
  <si>
    <t>ORD3092</t>
  </si>
  <si>
    <t>ORD3024</t>
  </si>
  <si>
    <t>ORD3097</t>
  </si>
  <si>
    <t>ORD3193</t>
  </si>
  <si>
    <t>ORD3451</t>
  </si>
  <si>
    <t>ORD3756</t>
  </si>
  <si>
    <t>ORD3185</t>
  </si>
  <si>
    <t>ORD3013</t>
  </si>
  <si>
    <t>ORD3032</t>
  </si>
  <si>
    <t>ORD3557</t>
  </si>
  <si>
    <t>ORD3460</t>
  </si>
  <si>
    <t>ORD3575</t>
  </si>
  <si>
    <t>ORD3283</t>
  </si>
  <si>
    <t>ORD3329</t>
  </si>
  <si>
    <t>ORD3926</t>
  </si>
  <si>
    <t>ORD3475</t>
  </si>
  <si>
    <t>ORD3669</t>
  </si>
  <si>
    <t>ORD3647</t>
  </si>
  <si>
    <t>ORD3510</t>
  </si>
  <si>
    <t>ORD3805</t>
  </si>
  <si>
    <t>ORD3327</t>
  </si>
  <si>
    <t>ORD3975</t>
  </si>
  <si>
    <t>ORD3473</t>
  </si>
  <si>
    <t>ORD3415</t>
  </si>
  <si>
    <t>ORD3604</t>
  </si>
  <si>
    <t>ORD3432</t>
  </si>
  <si>
    <t>ORD3449</t>
  </si>
  <si>
    <t>ORD3978</t>
  </si>
  <si>
    <t>ORD3091</t>
  </si>
  <si>
    <t>ORD3083</t>
  </si>
  <si>
    <t>ORD3228</t>
  </si>
  <si>
    <t>ORD3078</t>
  </si>
  <si>
    <t>ORD3956</t>
  </si>
  <si>
    <t>ORD3847</t>
  </si>
  <si>
    <t>ORD3483</t>
  </si>
  <si>
    <t>ORD3368</t>
  </si>
  <si>
    <t>ORD3015</t>
  </si>
  <si>
    <t>ORD3397</t>
  </si>
  <si>
    <t>ORD3885</t>
  </si>
  <si>
    <t>ORD3080</t>
  </si>
  <si>
    <t>ORD3853</t>
  </si>
  <si>
    <t>ORD3899</t>
  </si>
  <si>
    <t>ORD3337</t>
  </si>
  <si>
    <t>ORD3294</t>
  </si>
  <si>
    <t>ORD3970</t>
  </si>
  <si>
    <t>ORD3586</t>
  </si>
  <si>
    <t>ORD3295</t>
  </si>
  <si>
    <t>ORD3888</t>
  </si>
  <si>
    <t>ORD3180</t>
  </si>
  <si>
    <t>ORD3298</t>
  </si>
  <si>
    <t>ORD3552</t>
  </si>
  <si>
    <t>ORD3478</t>
  </si>
  <si>
    <t>ORD3007</t>
  </si>
  <si>
    <t>ORD3378</t>
  </si>
  <si>
    <t>ORD3428</t>
  </si>
  <si>
    <t>ORD3976</t>
  </si>
  <si>
    <t>ORD3934</t>
  </si>
  <si>
    <t>ORD3466</t>
  </si>
  <si>
    <t>ORD3804</t>
  </si>
  <si>
    <t>ORD3301</t>
  </si>
  <si>
    <t>ORD3590</t>
  </si>
  <si>
    <t>ORD3965</t>
  </si>
  <si>
    <t>ORD3802</t>
  </si>
  <si>
    <t>ORD3006</t>
  </si>
  <si>
    <t>ORD3695</t>
  </si>
  <si>
    <t>ORD3168</t>
  </si>
  <si>
    <t>ORD3248</t>
  </si>
  <si>
    <t>ORD3166</t>
  </si>
  <si>
    <t>ORD3395</t>
  </si>
  <si>
    <t>ORD3841</t>
  </si>
  <si>
    <t>ORD3257</t>
  </si>
  <si>
    <t>ORD3108</t>
  </si>
  <si>
    <t>ORD3916</t>
  </si>
  <si>
    <t>ORD3720</t>
  </si>
  <si>
    <t>ORD3380</t>
  </si>
  <si>
    <t>ORD3357</t>
  </si>
  <si>
    <t>ORD3869</t>
  </si>
  <si>
    <t>ORD3666</t>
  </si>
  <si>
    <t>ORD3444</t>
  </si>
  <si>
    <t>ORD3736</t>
  </si>
  <si>
    <t>ORD3344</t>
  </si>
  <si>
    <t>ORD3401</t>
  </si>
  <si>
    <t>ORD3023</t>
  </si>
  <si>
    <t>ORD3454</t>
  </si>
  <si>
    <t>ORD3862</t>
  </si>
  <si>
    <t>ORD3912</t>
  </si>
  <si>
    <t>ORD3243</t>
  </si>
  <si>
    <t>ORD3964</t>
  </si>
  <si>
    <t>ORD3364</t>
  </si>
  <si>
    <t>ORD3370</t>
  </si>
  <si>
    <t>ORD3314</t>
  </si>
  <si>
    <t>ORD3630</t>
  </si>
  <si>
    <t>ORD3644</t>
  </si>
  <si>
    <t>ORD3947</t>
  </si>
  <si>
    <t>ORD3254</t>
  </si>
  <si>
    <t>ORD3086</t>
  </si>
  <si>
    <t>ORD3195</t>
  </si>
  <si>
    <t>ORD3618</t>
  </si>
  <si>
    <t>ORD3810</t>
  </si>
  <si>
    <t>ORD3839</t>
  </si>
  <si>
    <t>ORD3658</t>
  </si>
  <si>
    <t>ORD3426</t>
  </si>
  <si>
    <t>ORD3771</t>
  </si>
  <si>
    <t>ORD3289</t>
  </si>
  <si>
    <t>ORD3463</t>
  </si>
  <si>
    <t>ORD3673</t>
  </si>
  <si>
    <t>ORD3542</t>
  </si>
  <si>
    <t>ORD3208</t>
  </si>
  <si>
    <t>ORD3992</t>
  </si>
  <si>
    <t>ORD3971</t>
  </si>
  <si>
    <t>ORD3286</t>
  </si>
  <si>
    <t>ORD3572</t>
  </si>
  <si>
    <t>ORD3599</t>
  </si>
  <si>
    <t>ORD3866</t>
  </si>
  <si>
    <t>ORD3260</t>
  </si>
  <si>
    <t>ORD3718</t>
  </si>
  <si>
    <t>ORD3523</t>
  </si>
  <si>
    <t>ORD3567</t>
  </si>
  <si>
    <t>ORD3017</t>
  </si>
  <si>
    <t>ORD3365</t>
  </si>
  <si>
    <t>ORD3375</t>
  </si>
  <si>
    <t>ORD3587</t>
  </si>
  <si>
    <t>ORD3592</t>
  </si>
  <si>
    <t>ORD3738</t>
  </si>
  <si>
    <t>ORD3367</t>
  </si>
  <si>
    <t>ORD3059</t>
  </si>
  <si>
    <t>ORD3930</t>
  </si>
  <si>
    <t>ORD3044</t>
  </si>
  <si>
    <t>ORD3389</t>
  </si>
  <si>
    <t>ORD3809</t>
  </si>
  <si>
    <t>ORD3688</t>
  </si>
  <si>
    <t>ORD3422</t>
  </si>
  <si>
    <t>ORD3611</t>
  </si>
  <si>
    <t>ORD3944</t>
  </si>
  <si>
    <t>ORD3974</t>
  </si>
  <si>
    <t>ORD3273</t>
  </si>
  <si>
    <t>ORD3913</t>
  </si>
  <si>
    <t>ORD3434</t>
  </si>
  <si>
    <t>ORD3763</t>
  </si>
  <si>
    <t>ORD3708</t>
  </si>
  <si>
    <t>ORD3530</t>
  </si>
  <si>
    <t>ORD3311</t>
  </si>
  <si>
    <t>ORD3412</t>
  </si>
  <si>
    <t>ORD3891</t>
  </si>
  <si>
    <t>ORD3568</t>
  </si>
  <si>
    <t>ORD3156</t>
  </si>
  <si>
    <t>ORD3207</t>
  </si>
  <si>
    <t>ORD3224</t>
  </si>
  <si>
    <t>ORD3813</t>
  </si>
  <si>
    <t>ORD3994</t>
  </si>
  <si>
    <t>ORD3520</t>
  </si>
  <si>
    <t>ORD3786</t>
  </si>
  <si>
    <t>ORD3321</t>
  </si>
  <si>
    <t>ORD3877</t>
  </si>
  <si>
    <t>ORD3788</t>
  </si>
  <si>
    <t>ORD3727</t>
  </si>
  <si>
    <t>ORD3062</t>
  </si>
  <si>
    <t>ORD3571</t>
  </si>
  <si>
    <t>ORD3704</t>
  </si>
  <si>
    <t>ORD3118</t>
  </si>
  <si>
    <t>ORD3171</t>
  </si>
  <si>
    <t>ORD3126</t>
  </si>
  <si>
    <t>ORD3457</t>
  </si>
  <si>
    <t>ORD3831</t>
  </si>
  <si>
    <t>ORD3699</t>
  </si>
  <si>
    <t>ORD3837</t>
  </si>
  <si>
    <t>ORD3183</t>
  </si>
  <si>
    <t>ORD3491</t>
  </si>
  <si>
    <t>ORD3675</t>
  </si>
  <si>
    <t>ORD3682</t>
  </si>
  <si>
    <t>ORD3202</t>
  </si>
  <si>
    <t>ORD3827</t>
  </si>
  <si>
    <t>ORD3358</t>
  </si>
  <si>
    <t>ORD3157</t>
  </si>
  <si>
    <t>ORD3638</t>
  </si>
  <si>
    <t>ORD3697</t>
  </si>
  <si>
    <t>ORD3386</t>
  </si>
  <si>
    <t>ORD3127</t>
  </si>
  <si>
    <t>ORD3936</t>
  </si>
  <si>
    <t>ORD3119</t>
  </si>
  <si>
    <t>ORD3573</t>
  </si>
  <si>
    <t>ORD3954</t>
  </si>
  <si>
    <t>ORD3892</t>
  </si>
  <si>
    <t>ORD3203</t>
  </si>
  <si>
    <t>ORD3271</t>
  </si>
  <si>
    <t>ORD3608</t>
  </si>
  <si>
    <t>ORD3003</t>
  </si>
  <si>
    <t>ORD3099</t>
  </si>
  <si>
    <t>ORD3064</t>
  </si>
  <si>
    <t>ORD3646</t>
  </si>
  <si>
    <t>ORD3011</t>
  </si>
  <si>
    <t>ORD3405</t>
  </si>
  <si>
    <t>ORD3836</t>
  </si>
  <si>
    <t>ORD3498</t>
  </si>
  <si>
    <t>ORD3549</t>
  </si>
  <si>
    <t>ORD3935</t>
  </si>
  <si>
    <t>ORD3194</t>
  </si>
  <si>
    <t>ORD3702</t>
  </si>
  <si>
    <t>ORD3543</t>
  </si>
  <si>
    <t>ORD3928</t>
  </si>
  <si>
    <t>ORD3700</t>
  </si>
  <si>
    <t>ORD3215</t>
  </si>
  <si>
    <t>ORD3794</t>
  </si>
  <si>
    <t>ORD3151</t>
  </si>
  <si>
    <t>ORD3413</t>
  </si>
  <si>
    <t>ORD3111</t>
  </si>
  <si>
    <t>ORD3154</t>
  </si>
  <si>
    <t>ORD3330</t>
  </si>
  <si>
    <t>ORD3780</t>
  </si>
  <si>
    <t>ORD3186</t>
  </si>
  <si>
    <t>ORD3009</t>
  </si>
  <si>
    <t>ORD3387</t>
  </si>
  <si>
    <t>ORD3022</t>
  </si>
  <si>
    <t>ORD3269</t>
  </si>
  <si>
    <t>ORD3074</t>
  </si>
  <si>
    <t>ORD3798</t>
  </si>
  <si>
    <t>ORD3436</t>
  </si>
  <si>
    <t>ORD3991</t>
  </si>
  <si>
    <t>ORD3627</t>
  </si>
  <si>
    <t>ORD3544</t>
  </si>
  <si>
    <t>ORD3594</t>
  </si>
  <si>
    <t>ORD3999</t>
  </si>
  <si>
    <t>ORD3416</t>
  </si>
  <si>
    <t>ORD3101</t>
  </si>
  <si>
    <t>ORD3419</t>
  </si>
  <si>
    <t>ORD3540</t>
  </si>
  <si>
    <t>ORD3622</t>
  </si>
  <si>
    <t>ORD3492</t>
  </si>
  <si>
    <t>ORD3649</t>
  </si>
  <si>
    <t>ORD3232</t>
  </si>
  <si>
    <t>ORD3843</t>
  </si>
  <si>
    <t>ORD3088</t>
  </si>
  <si>
    <t>ORD3584</t>
  </si>
  <si>
    <t>ORD3731</t>
  </si>
  <si>
    <t>ORD3263</t>
  </si>
  <si>
    <t>ORD3713</t>
  </si>
  <si>
    <t>ORD3225</t>
  </si>
  <si>
    <t>ORD3336</t>
  </si>
  <si>
    <t>ORD3553</t>
  </si>
  <si>
    <t>ORD3539</t>
  </si>
  <si>
    <t>ORD3746</t>
  </si>
  <si>
    <t>ORD3705</t>
  </si>
  <si>
    <t>ORD3721</t>
  </si>
  <si>
    <t>ORD3526</t>
  </si>
  <si>
    <t>ORD3838</t>
  </si>
  <si>
    <t>ORD3659</t>
  </si>
  <si>
    <t>ORD3864</t>
  </si>
  <si>
    <t>ORD3835</t>
  </si>
  <si>
    <t>ORD3741</t>
  </si>
  <si>
    <t>ORD3058</t>
  </si>
  <si>
    <t>ORD3240</t>
  </si>
  <si>
    <t>ORD3043</t>
  </si>
  <si>
    <t>ORD3937</t>
  </si>
  <si>
    <t>ORD3493</t>
  </si>
  <si>
    <t>ORD3890</t>
  </si>
  <si>
    <t>ORD3034</t>
  </si>
  <si>
    <t>ORD3296</t>
  </si>
  <si>
    <t>ORD3212</t>
  </si>
  <si>
    <t>ORD3563</t>
  </si>
  <si>
    <t>ORD3660</t>
  </si>
  <si>
    <t>ORD3982</t>
  </si>
  <si>
    <t>ORD3325</t>
  </si>
  <si>
    <t>ORD3764</t>
  </si>
  <si>
    <t>ORD3607</t>
  </si>
  <si>
    <t>ORD3098</t>
  </si>
  <si>
    <t>ORD3394</t>
  </si>
  <si>
    <t>ORD3680</t>
  </si>
  <si>
    <t>ORD3028</t>
  </si>
  <si>
    <t>ORD3374</t>
  </si>
  <si>
    <t>ORD3685</t>
  </si>
  <si>
    <t>ORD3079</t>
  </si>
  <si>
    <t>ORD3270</t>
  </si>
  <si>
    <t>ORD3456</t>
  </si>
  <si>
    <t>ORD3949</t>
  </si>
  <si>
    <t>ORD3782</t>
  </si>
  <si>
    <t>ORD3469</t>
  </si>
  <si>
    <t>ORD3998</t>
  </si>
  <si>
    <t>ORD3373</t>
  </si>
  <si>
    <t>ORD3548</t>
  </si>
  <si>
    <t>ORD3751</t>
  </si>
  <si>
    <t>ORD3906</t>
  </si>
  <si>
    <t>ORD3570</t>
  </si>
  <si>
    <t>ORD3822</t>
  </si>
  <si>
    <t>ORD3345</t>
  </si>
  <si>
    <t>ORD3559</t>
  </si>
  <si>
    <t>ORD3560</t>
  </si>
  <si>
    <t>ORD3875</t>
  </si>
  <si>
    <t>ORD3919</t>
  </si>
  <si>
    <t>ORD3220</t>
  </si>
  <si>
    <t>ORD3495</t>
  </si>
  <si>
    <t>ORD3351</t>
  </si>
  <si>
    <t>ORD3124</t>
  </si>
  <si>
    <t>ORD3291</t>
  </si>
  <si>
    <t>ORD3446</t>
  </si>
  <si>
    <t>ORD3614</t>
  </si>
  <si>
    <t>ORD3005</t>
  </si>
  <si>
    <t>ORD3438</t>
  </si>
  <si>
    <t>ORD3534</t>
  </si>
  <si>
    <t>ORD3161</t>
  </si>
  <si>
    <t>ORD3073</t>
  </si>
  <si>
    <t>ORD3951</t>
  </si>
  <si>
    <t>ORD3656</t>
  </si>
  <si>
    <t>ORD3858</t>
  </si>
  <si>
    <t>ORD3525</t>
  </si>
  <si>
    <t>ORD3521</t>
  </si>
  <si>
    <t>ORD3347</t>
  </si>
  <si>
    <t>ORD3477</t>
  </si>
  <si>
    <t>ORD3612</t>
  </si>
  <si>
    <t>ORD3503</t>
  </si>
  <si>
    <t>ORD3581</t>
  </si>
  <si>
    <t>ORD3417</t>
  </si>
  <si>
    <t>ORD3519</t>
  </si>
  <si>
    <t>ORD3292</t>
  </si>
  <si>
    <t>ORD3824</t>
  </si>
  <si>
    <t>ORD3223</t>
  </si>
  <si>
    <t>ORD3617</t>
  </si>
  <si>
    <t>ORD3020</t>
  </si>
  <si>
    <t>ORD3141</t>
  </si>
  <si>
    <t>ORD3012</t>
  </si>
  <si>
    <t>ORD3722</t>
  </si>
  <si>
    <t>ORD3619</t>
  </si>
  <si>
    <t>ORD3138</t>
  </si>
  <si>
    <t>ORD3189</t>
  </si>
  <si>
    <t>ORD3664</t>
  </si>
  <si>
    <t>ORD3684</t>
  </si>
  <si>
    <t>ORD3261</t>
  </si>
  <si>
    <t>ORD3316</t>
  </si>
  <si>
    <t>ORD3282</t>
  </si>
  <si>
    <t>ORD3815</t>
  </si>
  <si>
    <t>ORD3652</t>
  </si>
  <si>
    <t>ORD3016</t>
  </si>
  <si>
    <t>ORD3287</t>
  </si>
  <si>
    <t>ORD3577</t>
  </si>
  <si>
    <t>ORD3909</t>
  </si>
  <si>
    <t>ORD3217</t>
  </si>
  <si>
    <t>ORD3696</t>
  </si>
  <si>
    <t>ORD3988</t>
  </si>
  <si>
    <t>ORD3744</t>
  </si>
  <si>
    <t>ORD3706</t>
  </si>
  <si>
    <t>ORD3968</t>
  </si>
  <si>
    <t>ORD3648</t>
  </si>
  <si>
    <t>ORD3818</t>
  </si>
  <si>
    <t>ORD3569</t>
  </si>
  <si>
    <t>ORD3317</t>
  </si>
  <si>
    <t>ORD3671</t>
  </si>
  <si>
    <t>ORD3546</t>
  </si>
  <si>
    <t>ORD3753</t>
  </si>
  <si>
    <t>ORD3952</t>
  </si>
  <si>
    <t>ORD3235</t>
  </si>
  <si>
    <t>ORD3090</t>
  </si>
  <si>
    <t>ORD3167</t>
  </si>
  <si>
    <t>ORD3904</t>
  </si>
  <si>
    <t>ORD3628</t>
  </si>
  <si>
    <t>ORD3363</t>
  </si>
  <si>
    <t>ORD3071</t>
  </si>
  <si>
    <t>ORD3923</t>
  </si>
  <si>
    <t>ORD3834</t>
  </si>
  <si>
    <t>ORD3060</t>
  </si>
  <si>
    <t>ORD3110</t>
  </si>
  <si>
    <t>ORD3621</t>
  </si>
  <si>
    <t>ORD3018</t>
  </si>
  <si>
    <t>ORD3920</t>
  </si>
  <si>
    <t>ORD3320</t>
  </si>
  <si>
    <t>ORD3143</t>
  </si>
  <si>
    <t>ORD3907</t>
  </si>
  <si>
    <t>ORD3826</t>
  </si>
  <si>
    <t>ORD3137</t>
  </si>
  <si>
    <t>ORD3602</t>
  </si>
  <si>
    <t>ORD3468</t>
  </si>
  <si>
    <t>ORD3609</t>
  </si>
  <si>
    <t>ORD3487</t>
  </si>
  <si>
    <t>ORD3039</t>
  </si>
  <si>
    <t>ORD3578</t>
  </si>
  <si>
    <t>ORD3931</t>
  </si>
  <si>
    <t>ORD3008</t>
  </si>
  <si>
    <t>ORD3772</t>
  </si>
  <si>
    <t>ORD3903</t>
  </si>
  <si>
    <t>ORD3400</t>
  </si>
  <si>
    <t>ORD3303</t>
  </si>
  <si>
    <t>ORD3332</t>
  </si>
  <si>
    <t>ORD3268</t>
  </si>
  <si>
    <t>ORD3821</t>
  </si>
  <si>
    <t>ORD3547</t>
  </si>
  <si>
    <t>ORD3784</t>
  </si>
  <si>
    <t>ORD3517</t>
  </si>
  <si>
    <t>ORD3274</t>
  </si>
  <si>
    <t>ORD3961</t>
  </si>
  <si>
    <t>ORD3335</t>
  </si>
  <si>
    <t>ORD3742</t>
  </si>
  <si>
    <t>ORD3244</t>
  </si>
  <si>
    <t>ORD3474</t>
  </si>
  <si>
    <t>ORD3204</t>
  </si>
  <si>
    <t>ORD3339</t>
  </si>
  <si>
    <t>ORD3285</t>
  </si>
  <si>
    <t>ORD3898</t>
  </si>
  <si>
    <t>ORD3674</t>
  </si>
  <si>
    <t>ORD3213</t>
  </si>
  <si>
    <t>ORD3778</t>
  </si>
  <si>
    <t>ORD3765</t>
  </si>
  <si>
    <t>ORD3445</t>
  </si>
  <si>
    <t>ORD3105</t>
  </si>
  <si>
    <t>ORD3564</t>
  </si>
  <si>
    <t>ORD3435</t>
  </si>
  <si>
    <t>ORD3393</t>
  </si>
  <si>
    <t>ORD3518</t>
  </si>
  <si>
    <t>ORD3881</t>
  </si>
  <si>
    <t>ORD3512</t>
  </si>
  <si>
    <t>ORD3863</t>
  </si>
  <si>
    <t>ORD3921</t>
  </si>
  <si>
    <t>ORD3872</t>
  </si>
  <si>
    <t>ORD3796</t>
  </si>
  <si>
    <t>ORD3247</t>
  </si>
  <si>
    <t>ORD3973</t>
  </si>
  <si>
    <t>ORD3910</t>
  </si>
  <si>
    <t>ORD3458</t>
  </si>
  <si>
    <t>ORD3369</t>
  </si>
  <si>
    <t>ORD3981</t>
  </si>
  <si>
    <t>ORD3743</t>
  </si>
  <si>
    <t>ORD3529</t>
  </si>
  <si>
    <t>ORD3711</t>
  </si>
  <si>
    <t>ORD3726</t>
  </si>
  <si>
    <t>ORD3131</t>
  </si>
  <si>
    <t>ORD3424</t>
  </si>
  <si>
    <t>ORD3155</t>
  </si>
  <si>
    <t>ORD3779</t>
  </si>
  <si>
    <t>ORD3284</t>
  </si>
  <si>
    <t>ORD3783</t>
  </si>
  <si>
    <t>ORD3508</t>
  </si>
  <si>
    <t>ORD3033</t>
  </si>
  <si>
    <t>ORD3205</t>
  </si>
  <si>
    <t>ORD3714</t>
  </si>
  <si>
    <t>ORD3924</t>
  </si>
  <si>
    <t>ORD3528</t>
  </si>
  <si>
    <t>ORD3069</t>
  </si>
  <si>
    <t>ORD3390</t>
  </si>
  <si>
    <t>ORD3308</t>
  </si>
  <si>
    <t>ORD3507</t>
  </si>
  <si>
    <t>ORD3896</t>
  </si>
  <si>
    <t>ORD3601</t>
  </si>
  <si>
    <t>ORD3384</t>
  </si>
  <si>
    <t>ORD3276</t>
  </si>
  <si>
    <t>ORD3683</t>
  </si>
  <si>
    <t>ORD3030</t>
  </si>
  <si>
    <t>ORD3470</t>
  </si>
  <si>
    <t>ORD3117</t>
  </si>
  <si>
    <t>ORD3851</t>
  </si>
  <si>
    <t>ORD3496</t>
  </si>
  <si>
    <t>ORD3748</t>
  </si>
  <si>
    <t>ORD3606</t>
  </si>
  <si>
    <t>ORD3556</t>
  </si>
  <si>
    <t>ORD3136</t>
  </si>
  <si>
    <t>ORD3442</t>
  </si>
  <si>
    <t>ORD3070</t>
  </si>
  <si>
    <t>ORD3624</t>
  </si>
  <si>
    <t>ORD3061</t>
  </si>
  <si>
    <t>ORD3561</t>
  </si>
  <si>
    <t>ORD3984</t>
  </si>
  <si>
    <t>ORD3600</t>
  </si>
  <si>
    <t>ORD3882</t>
  </si>
  <si>
    <t>ORD3678</t>
  </si>
  <si>
    <t>ORD3216</t>
  </si>
  <si>
    <t>ORD3178</t>
  </si>
  <si>
    <t>ORD3423</t>
  </si>
  <si>
    <t>ORD3427</t>
  </si>
  <si>
    <t>ORD3987</t>
  </si>
  <si>
    <t>ORD3312</t>
  </si>
  <si>
    <t>ORD3392</t>
  </si>
  <si>
    <t>ORD3121</t>
  </si>
  <si>
    <t>ORD3662</t>
  </si>
  <si>
    <t>ORD3219</t>
  </si>
  <si>
    <t>ORD3943</t>
  </si>
  <si>
    <t>ORD3977</t>
  </si>
  <si>
    <t>ORD3128</t>
  </si>
  <si>
    <t>ORD3758</t>
  </si>
  <si>
    <t>ORD3148</t>
  </si>
  <si>
    <t>ORD3588</t>
  </si>
  <si>
    <t>ORD3591</t>
  </si>
  <si>
    <t>ORD3122</t>
  </si>
  <si>
    <t>ORD3531</t>
  </si>
  <si>
    <t>ORD3359</t>
  </si>
  <si>
    <t>ORD3188</t>
  </si>
  <si>
    <t>ORD3052</t>
  </si>
  <si>
    <t>ORD3481</t>
  </si>
  <si>
    <t>ORD3900</t>
  </si>
  <si>
    <t>ORD3486</t>
  </si>
  <si>
    <t>ORD3014</t>
  </si>
  <si>
    <t>ORD3313</t>
  </si>
  <si>
    <t>ORD3209</t>
  </si>
  <si>
    <t>ORD3391</t>
  </si>
  <si>
    <t>ORD3927</t>
  </si>
  <si>
    <t>ORD3541</t>
  </si>
  <si>
    <t>ORD3752</t>
  </si>
  <si>
    <t>ORD3372</t>
  </si>
  <si>
    <t>ORD3266</t>
  </si>
  <si>
    <t>ORD3362</t>
  </si>
  <si>
    <t>ORD3040</t>
  </si>
  <si>
    <t>ORD3226</t>
  </si>
  <si>
    <t>ORD3379</t>
  </si>
  <si>
    <t>ORD3399</t>
  </si>
  <si>
    <t>ORD3500</t>
  </si>
  <si>
    <t>ORD3242</t>
  </si>
  <si>
    <t>ORD3865</t>
  </si>
  <si>
    <t>ORD3031</t>
  </si>
  <si>
    <t>ORD3860</t>
  </si>
  <si>
    <t>ORD3651</t>
  </si>
  <si>
    <t>ORD3854</t>
  </si>
  <si>
    <t>ORD3237</t>
  </si>
  <si>
    <t>ORD3333</t>
  </si>
  <si>
    <t>ORD3946</t>
  </si>
  <si>
    <t>ORD3545</t>
  </si>
  <si>
    <t>ORD3057</t>
  </si>
  <si>
    <t>ORD3068</t>
  </si>
  <si>
    <t>ORD3585</t>
  </si>
  <si>
    <t>ORD3715</t>
  </si>
  <si>
    <t>ORD3729</t>
  </si>
  <si>
    <t>ORD3109</t>
  </si>
  <si>
    <t>ORD3309</t>
  </si>
  <si>
    <t>ORD3670</t>
  </si>
  <si>
    <t>ORD3252</t>
  </si>
  <si>
    <t>ORD3047</t>
  </si>
  <si>
    <t>ORD3593</t>
  </si>
  <si>
    <t>ORD3277</t>
  </si>
  <si>
    <t>ORD3453</t>
  </si>
  <si>
    <t>ORD3690</t>
  </si>
  <si>
    <t>ORD3940</t>
  </si>
  <si>
    <t>ORD3842</t>
  </si>
  <si>
    <t>ORD3135</t>
  </si>
  <si>
    <t>ORD3967</t>
  </si>
  <si>
    <t>ORD3352</t>
  </si>
  <si>
    <t>ORD3164</t>
  </si>
  <si>
    <t>ORD3371</t>
  </si>
  <si>
    <t>ORD3566</t>
  </si>
  <si>
    <t>ORD3650</t>
  </si>
  <si>
    <t>ORD3825</t>
  </si>
  <si>
    <t>ORD3258</t>
  </si>
  <si>
    <t>ORD3360</t>
  </si>
  <si>
    <t>ORD3158</t>
  </si>
  <si>
    <t>ORD3210</t>
  </si>
  <si>
    <t>ORD3515</t>
  </si>
  <si>
    <t>ORD3480</t>
  </si>
  <si>
    <t>ORD3504</t>
  </si>
  <si>
    <t>ORD3562</t>
  </si>
  <si>
    <t>ORD3297</t>
  </si>
  <si>
    <t>ORD3633</t>
  </si>
  <si>
    <t>ORD3830</t>
  </si>
  <si>
    <t>ORD3241</t>
  </si>
  <si>
    <t>ORD3085</t>
  </si>
  <si>
    <t>ORD3698</t>
  </si>
  <si>
    <t>ORD3053</t>
  </si>
  <si>
    <t>ORD3464</t>
  </si>
  <si>
    <t>ORD3075</t>
  </si>
  <si>
    <t>ORD3084</t>
  </si>
  <si>
    <t>ORD3499</t>
  </si>
  <si>
    <t>ORD3116</t>
  </si>
  <si>
    <t>ORD3279</t>
  </si>
  <si>
    <t>ORD3655</t>
  </si>
  <si>
    <t>ORD3310</t>
  </si>
  <si>
    <t>ORD3482</t>
  </si>
  <si>
    <t>ORD3516</t>
  </si>
  <si>
    <t>ORD3848</t>
  </si>
  <si>
    <t>ORD3589</t>
  </si>
  <si>
    <t>ORD3723</t>
  </si>
  <si>
    <t>ORD3388</t>
  </si>
  <si>
    <t>ORD3739</t>
  </si>
  <si>
    <t>ORD3962</t>
  </si>
  <si>
    <t>ORD3797</t>
  </si>
  <si>
    <t>ORD3485</t>
  </si>
  <si>
    <t>ORD3632</t>
  </si>
  <si>
    <t>ORD3182</t>
  </si>
  <si>
    <t>ORD3524</t>
  </si>
  <si>
    <t>ORD3980</t>
  </si>
  <si>
    <t>ORD3272</t>
  </si>
  <si>
    <t>ORD3550</t>
  </si>
  <si>
    <t>ORD3811</t>
  </si>
  <si>
    <t>ORD3623</t>
  </si>
  <si>
    <t>ORD3082</t>
  </si>
  <si>
    <t>ORD3184</t>
  </si>
  <si>
    <t>ORD3299</t>
  </si>
  <si>
    <t>ORD3355</t>
  </si>
  <si>
    <t>ORD3450</t>
  </si>
  <si>
    <t>ORD3693</t>
  </si>
  <si>
    <t>ORD3134</t>
  </si>
  <si>
    <t>ORD3716</t>
  </si>
  <si>
    <t>ORD3230</t>
  </si>
  <si>
    <t>ORD3536</t>
  </si>
  <si>
    <t>ORD3938</t>
  </si>
  <si>
    <t>Product</t>
  </si>
  <si>
    <t>Category</t>
  </si>
  <si>
    <t>UnitCost</t>
  </si>
  <si>
    <t>Laptop</t>
  </si>
  <si>
    <t>Electronics</t>
  </si>
  <si>
    <t>Tablet</t>
  </si>
  <si>
    <t>Monitor</t>
  </si>
  <si>
    <t>Printer</t>
  </si>
  <si>
    <t>Keyboard</t>
  </si>
  <si>
    <t>Accessories</t>
  </si>
  <si>
    <t>Mouse</t>
  </si>
  <si>
    <t>Headset</t>
  </si>
  <si>
    <t>Webcam</t>
  </si>
  <si>
    <t>Month</t>
  </si>
  <si>
    <t>RevenueTarget</t>
  </si>
  <si>
    <t>Column</t>
  </si>
  <si>
    <t>Problem</t>
  </si>
  <si>
    <t>Rows affected</t>
  </si>
  <si>
    <t>Fix</t>
  </si>
  <si>
    <t>some cells are blank</t>
  </si>
  <si>
    <t>some values have extra spaces before or after the word</t>
  </si>
  <si>
    <t>Use PROPER to standardize the case</t>
  </si>
  <si>
    <t>Use TRIM to remove the spaces</t>
  </si>
  <si>
    <t>check</t>
  </si>
  <si>
    <t>Unknown</t>
  </si>
  <si>
    <t>ProductID P199 does not exist in the Products sheet.</t>
  </si>
  <si>
    <t>Keep it and mark ProductID as Unknown</t>
  </si>
  <si>
    <t xml:space="preserve">put unknown </t>
  </si>
  <si>
    <t>Some Region values are written in different cases, like ‘north’ and ‘NORTH’.</t>
  </si>
  <si>
    <t>Some OrderID values are duplicated</t>
  </si>
  <si>
    <t>remove duplicate rows</t>
  </si>
  <si>
    <t>Deleted the 12 rows with blank Quantity, because Revenue cannot be calculated without it.</t>
  </si>
  <si>
    <t>ProductName</t>
  </si>
  <si>
    <t>Revenue</t>
  </si>
  <si>
    <t>Cost</t>
  </si>
  <si>
    <t>Profit</t>
  </si>
  <si>
    <t>Total</t>
  </si>
  <si>
    <t>ProductID P199 has no cost in the Products sheet, so UnitCost is set to 0.</t>
  </si>
  <si>
    <t>Confirm the product with the client. Until then, Profit for this order is overstated.</t>
  </si>
  <si>
    <t>Grand Total</t>
  </si>
  <si>
    <t xml:space="preserve"> Profit </t>
  </si>
  <si>
    <t xml:space="preserve">Revenue </t>
  </si>
  <si>
    <t xml:space="preserve">Region </t>
  </si>
  <si>
    <t>Jan</t>
  </si>
  <si>
    <t>Feb</t>
  </si>
  <si>
    <t>Mar</t>
  </si>
  <si>
    <t>Apr</t>
  </si>
  <si>
    <t>May</t>
  </si>
  <si>
    <t>Jun</t>
  </si>
  <si>
    <t>Jul</t>
  </si>
  <si>
    <t>Aug</t>
  </si>
  <si>
    <t>Sep</t>
  </si>
  <si>
    <t>Oct</t>
  </si>
  <si>
    <t>Nov</t>
  </si>
  <si>
    <t>Dec</t>
  </si>
  <si>
    <t xml:space="preserve">Profit </t>
  </si>
  <si>
    <t xml:space="preserve"> Revenue </t>
  </si>
  <si>
    <t xml:space="preserve">SalesRep </t>
  </si>
  <si>
    <t xml:space="preserve">ProfitMargin </t>
  </si>
  <si>
    <t>Category &amp; ProductName</t>
  </si>
  <si>
    <t>Total Revenue</t>
  </si>
  <si>
    <t>Total Profit</t>
  </si>
  <si>
    <t>Profit Margin</t>
  </si>
  <si>
    <t>Total Orders</t>
  </si>
  <si>
    <t>TOTAL REVENUE</t>
  </si>
  <si>
    <t>TOTAL PROFIT</t>
  </si>
  <si>
    <t>PROFIT MARGIN</t>
  </si>
  <si>
    <t>TOTAL ORDERS</t>
  </si>
  <si>
    <t>SALES PERFORMANCE DASHBOARD | 2025</t>
  </si>
  <si>
    <t>Sum of Revenue</t>
  </si>
  <si>
    <t>Sum of Profit</t>
  </si>
  <si>
    <t>Count of OrderID</t>
  </si>
  <si>
    <t>Excludes 1 order with unknown product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</si>
</sst>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yyyy"/>
    <numFmt numFmtId="165" formatCode="mmm\-yyyy"/>
    <numFmt numFmtId="166" formatCode="0.0%"/>
    <numFmt numFmtId="167" formatCode="0.0,,&quot;M&quot;\ "/>
  </numFmts>
  <fonts count="12" x14ac:knownFonts="1">
    <font>
      <sz val="11"/>
      <color theme="1"/>
      <name val="Calibri"/>
      <family val="2"/>
      <scheme val="minor"/>
    </font>
    <font>
      <b/>
      <sz val="11"/>
      <name val="Calibri"/>
    </font>
    <font>
      <b/>
      <sz val="11"/>
      <color theme="1"/>
      <name val="Calibri"/>
      <family val="2"/>
      <scheme val="minor"/>
    </font>
    <font>
      <sz val="11"/>
      <color rgb="FF92D050"/>
      <name val="Calibri"/>
      <family val="2"/>
      <scheme val="minor"/>
    </font>
    <font>
      <sz val="11"/>
      <color theme="1"/>
      <name val="Calibri"/>
      <family val="2"/>
      <scheme val="minor"/>
    </font>
    <font>
      <sz val="11"/>
      <color theme="0"/>
      <name val="Calibri"/>
      <family val="2"/>
      <scheme val="minor"/>
    </font>
    <font>
      <b/>
      <sz val="11"/>
      <name val="Calibri"/>
      <family val="2"/>
    </font>
    <font>
      <sz val="8"/>
      <name val="Calibri"/>
      <family val="2"/>
      <scheme val="minor"/>
    </font>
    <font>
      <b/>
      <sz val="20"/>
      <color theme="0"/>
      <name val="Calibri"/>
      <family val="2"/>
      <scheme val="minor"/>
    </font>
    <font>
      <sz val="11"/>
      <color rgb="FF14B8A6"/>
      <name val="Calibri"/>
      <family val="2"/>
      <scheme val="minor"/>
    </font>
    <font>
      <b/>
      <sz val="28"/>
      <color rgb="FF14B8A6"/>
      <name val="Calibri"/>
      <family val="2"/>
      <scheme val="minor"/>
    </font>
    <font>
      <sz val="11"/>
      <color rgb="FF64748B"/>
      <name val="Calibri"/>
      <family val="2"/>
      <scheme val="minor"/>
    </font>
  </fonts>
  <fills count="3">
    <fill>
      <patternFill patternType="none"/>
    </fill>
    <fill>
      <patternFill patternType="gray125"/>
    </fill>
    <fill>
      <patternFill patternType="solid">
        <fgColor rgb="FF0B1F3A"/>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23">
    <xf numFmtId="0" fontId="0" fillId="0" borderId="0" xfId="0"/>
    <xf numFmtId="0" fontId="1" fillId="0" borderId="0" xfId="0" applyFont="1"/>
    <xf numFmtId="164" fontId="0" fillId="0" borderId="0" xfId="0" applyNumberFormat="1"/>
    <xf numFmtId="165" fontId="0" fillId="0" borderId="0" xfId="0" applyNumberFormat="1"/>
    <xf numFmtId="0" fontId="2" fillId="0" borderId="0" xfId="0" applyFont="1"/>
    <xf numFmtId="0" fontId="3" fillId="0" borderId="0" xfId="0" applyFont="1">
      <extLst>
        <ext xmlns:xfpb="http://schemas.microsoft.com/office/spreadsheetml/2022/featurepropertybag" uri="{C7286773-470A-42A8-94C5-96B5CB345126}">
          <xfpb:xfComplement i="0"/>
        </ext>
      </extLst>
    </xf>
    <xf numFmtId="0" fontId="0" fillId="0" borderId="0" xfId="0" applyAlignment="1">
      <alignment vertical="center" wrapText="1"/>
    </xf>
    <xf numFmtId="0" fontId="6" fillId="0" borderId="0" xfId="0" applyFont="1"/>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left" indent="1"/>
    </xf>
    <xf numFmtId="166" fontId="0" fillId="0" borderId="0" xfId="0" applyNumberFormat="1"/>
    <xf numFmtId="166" fontId="0" fillId="0" borderId="0" xfId="1" applyNumberFormat="1" applyFont="1"/>
    <xf numFmtId="0" fontId="9" fillId="0" borderId="0" xfId="0" applyFont="1"/>
    <xf numFmtId="0" fontId="0" fillId="0" borderId="0" xfId="0" applyAlignment="1">
      <alignment horizontal="center" vertical="center"/>
    </xf>
    <xf numFmtId="0" fontId="5" fillId="2" borderId="0" xfId="0" applyFont="1" applyFill="1" applyAlignment="1">
      <alignment horizontal="center" vertical="center"/>
    </xf>
    <xf numFmtId="3" fontId="10" fillId="2" borderId="0" xfId="0" applyNumberFormat="1" applyFont="1" applyFill="1" applyAlignment="1">
      <alignment horizontal="center"/>
    </xf>
    <xf numFmtId="0" fontId="8" fillId="2" borderId="0" xfId="0" applyFont="1" applyFill="1" applyAlignment="1">
      <alignment horizontal="center" vertical="center"/>
    </xf>
    <xf numFmtId="167" fontId="10" fillId="2" borderId="0" xfId="0" applyNumberFormat="1" applyFont="1" applyFill="1" applyAlignment="1">
      <alignment horizontal="center"/>
    </xf>
    <xf numFmtId="166" fontId="10" fillId="2" borderId="0" xfId="0" applyNumberFormat="1" applyFont="1" applyFill="1" applyAlignment="1">
      <alignment horizontal="center"/>
    </xf>
    <xf numFmtId="0" fontId="0" fillId="0" borderId="0" xfId="0" applyNumberFormat="1"/>
    <xf numFmtId="0" fontId="11" fillId="0" borderId="0" xfId="0" applyFont="1" applyFill="1" applyAlignment="1">
      <alignment horizontal="center"/>
    </xf>
  </cellXfs>
  <cellStyles count="2">
    <cellStyle name="Normal" xfId="0" builtinId="0"/>
    <cellStyle name="Percent" xfId="1" builtinId="5"/>
  </cellStyles>
  <dxfs count="14">
    <dxf>
      <font>
        <name val="Calibri"/>
        <family val="2"/>
        <scheme val="minor"/>
      </font>
      <fill>
        <patternFill>
          <bgColor rgb="FF14B8A6"/>
        </patternFill>
      </fill>
    </dxf>
    <dxf>
      <font>
        <name val="Calibri"/>
        <family val="2"/>
        <scheme val="minor"/>
      </font>
      <fill>
        <patternFill>
          <bgColor rgb="FF14B8A6"/>
        </patternFill>
      </fill>
    </dxf>
    <dxf>
      <font>
        <b/>
        <color theme="1"/>
      </font>
      <border>
        <bottom style="thin">
          <color theme="8"/>
        </bottom>
        <vertical/>
        <horizontal/>
      </border>
    </dxf>
    <dxf>
      <font>
        <color theme="1"/>
        <name val="Calibri"/>
        <family val="2"/>
        <scheme val="minor"/>
      </font>
      <border>
        <left style="thin">
          <color theme="8"/>
        </left>
        <right style="thin">
          <color theme="8"/>
        </right>
        <top style="thin">
          <color theme="8"/>
        </top>
        <bottom style="thin">
          <color theme="8"/>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m\-yyyy"/>
    </dxf>
    <dxf>
      <font>
        <b/>
        <i val="0"/>
        <strike val="0"/>
        <condense val="0"/>
        <extend val="0"/>
        <outline val="0"/>
        <shadow val="0"/>
        <u val="none"/>
        <vertAlign val="baseline"/>
        <sz val="11"/>
        <color auto="1"/>
        <name val="Calibri"/>
        <scheme val="none"/>
      </font>
    </dxf>
    <dxf>
      <fill>
        <patternFill>
          <bgColor rgb="FF14B8A6"/>
        </patternFill>
      </fill>
    </dxf>
  </dxfs>
  <tableStyles count="7" defaultTableStyle="TableStyleMedium9" defaultPivotStyle="PivotStyleLight16">
    <tableStyle name="Slicer Style 1" pivot="0" table="0" count="0" xr9:uid="{A46EAA7E-DF1D-4C79-9050-EDF40C9DABEB}"/>
    <tableStyle name="Slicer Style 2" pivot="0" table="0" count="1" xr9:uid="{716BE7CE-8B89-4A9C-A113-4B886A3EAE84}">
      <tableStyleElement type="wholeTable" dxfId="13"/>
    </tableStyle>
    <tableStyle name="Slicer Style 2 2" pivot="0" table="0" count="1" xr9:uid="{98C9FB64-A194-483E-95C9-F94EFFD81975}">
      <tableStyleElement type="wholeTable" dxfId="1"/>
    </tableStyle>
    <tableStyle name="Slicer Style 2 3" pivot="0" table="0" count="1" xr9:uid="{DF3C85AD-1ECB-4DF0-8C62-8B0AF982ECE8}">
      <tableStyleElement type="wholeTable" dxfId="0"/>
    </tableStyle>
    <tableStyle name="Slicer Style 3" pivot="0" table="0" count="0" xr9:uid="{AD8FF515-BD63-40A6-90BB-318F86B1CF66}"/>
    <tableStyle name="Slicer Style 4" pivot="0" table="0" count="0" xr9:uid="{24DFE3B8-60FA-4170-8BA3-8C9563F25744}"/>
    <tableStyle name="SlicerStyleLight5 2" pivot="0" table="0" count="10" xr9:uid="{93CA9481-EEA3-4D41-85BC-9E34CB6686B5}">
      <tableStyleElement type="wholeTable" dxfId="3"/>
      <tableStyleElement type="headerRow" dxfId="2"/>
    </tableStyle>
  </tableStyles>
  <colors>
    <mruColors>
      <color rgb="FF64748B"/>
      <color rgb="FFF59E0B"/>
      <color rgb="FF14B8A6"/>
      <color rgb="FF0B1F3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2 2"/>
        <x14:slicerStyle name="Slicer Style 2 3"/>
        <x14:slicerStyle name="Slicer Style 3"/>
        <x14:slicerStyle name="Slicer Style 4"/>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22/11/relationships/FeaturePropertyBag" Target="featurePropertyBag/featurePropertyBag.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[Sales_Dashboard_Project_clean.xlsx]Pivot_Analysis!PivotTable1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and Profit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4B8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Revenue </c:v>
                </c:pt>
              </c:strCache>
            </c:strRef>
          </c:tx>
          <c:spPr>
            <a:solidFill>
              <a:srgbClr val="14B8A6"/>
            </a:solidFill>
            <a:ln>
              <a:noFill/>
            </a:ln>
            <a:effectLst/>
          </c:spPr>
          <c:invertIfNegative val="0"/>
          <c:cat>
            <c:strRef>
              <c:f>Pivot_Analysis!$A$4:$A$8</c:f>
              <c:strCache>
                <c:ptCount val="4"/>
                <c:pt idx="0">
                  <c:v>East</c:v>
                </c:pt>
                <c:pt idx="1">
                  <c:v>West</c:v>
                </c:pt>
                <c:pt idx="2">
                  <c:v>South</c:v>
                </c:pt>
                <c:pt idx="3">
                  <c:v>North</c:v>
                </c:pt>
              </c:strCache>
            </c:strRef>
          </c:cat>
          <c:val>
            <c:numRef>
              <c:f>Pivot_Analysis!$B$4:$B$8</c:f>
              <c:numCache>
                <c:formatCode>#,##0</c:formatCode>
                <c:ptCount val="4"/>
                <c:pt idx="0">
                  <c:v>28375270</c:v>
                </c:pt>
                <c:pt idx="1">
                  <c:v>23442750</c:v>
                </c:pt>
                <c:pt idx="2">
                  <c:v>21546420</c:v>
                </c:pt>
                <c:pt idx="3">
                  <c:v>18366375</c:v>
                </c:pt>
              </c:numCache>
            </c:numRef>
          </c:val>
          <c:extLst>
            <c:ext xmlns:c16="http://schemas.microsoft.com/office/drawing/2014/chart" uri="{C3380CC4-5D6E-409C-BE32-E72D297353CC}">
              <c16:uniqueId val="{00000000-CB58-42FD-8154-4ACEC570401F}"/>
            </c:ext>
          </c:extLst>
        </c:ser>
        <c:ser>
          <c:idx val="1"/>
          <c:order val="1"/>
          <c:tx>
            <c:strRef>
              <c:f>Pivot_Analysis!$C$3</c:f>
              <c:strCache>
                <c:ptCount val="1"/>
                <c:pt idx="0">
                  <c:v> Profit </c:v>
                </c:pt>
              </c:strCache>
            </c:strRef>
          </c:tx>
          <c:spPr>
            <a:solidFill>
              <a:srgbClr val="F59E0B"/>
            </a:solidFill>
            <a:ln>
              <a:noFill/>
            </a:ln>
            <a:effectLst/>
          </c:spPr>
          <c:invertIfNegative val="0"/>
          <c:cat>
            <c:strRef>
              <c:f>Pivot_Analysis!$A$4:$A$8</c:f>
              <c:strCache>
                <c:ptCount val="4"/>
                <c:pt idx="0">
                  <c:v>East</c:v>
                </c:pt>
                <c:pt idx="1">
                  <c:v>West</c:v>
                </c:pt>
                <c:pt idx="2">
                  <c:v>South</c:v>
                </c:pt>
                <c:pt idx="3">
                  <c:v>North</c:v>
                </c:pt>
              </c:strCache>
            </c:strRef>
          </c:cat>
          <c:val>
            <c:numRef>
              <c:f>Pivot_Analysis!$C$4:$C$8</c:f>
              <c:numCache>
                <c:formatCode>#,##0</c:formatCode>
                <c:ptCount val="4"/>
                <c:pt idx="0">
                  <c:v>6115270</c:v>
                </c:pt>
                <c:pt idx="1">
                  <c:v>5172790</c:v>
                </c:pt>
                <c:pt idx="2">
                  <c:v>4814700</c:v>
                </c:pt>
                <c:pt idx="3">
                  <c:v>4122295</c:v>
                </c:pt>
              </c:numCache>
            </c:numRef>
          </c:val>
          <c:extLst>
            <c:ext xmlns:c16="http://schemas.microsoft.com/office/drawing/2014/chart" uri="{C3380CC4-5D6E-409C-BE32-E72D297353CC}">
              <c16:uniqueId val="{00000001-CB58-42FD-8154-4ACEC570401F}"/>
            </c:ext>
          </c:extLst>
        </c:ser>
        <c:dLbls>
          <c:showLegendKey val="0"/>
          <c:showVal val="0"/>
          <c:showCatName val="0"/>
          <c:showSerName val="0"/>
          <c:showPercent val="0"/>
          <c:showBubbleSize val="0"/>
        </c:dLbls>
        <c:gapWidth val="219"/>
        <c:overlap val="-27"/>
        <c:axId val="2058346575"/>
        <c:axId val="2048087151"/>
      </c:barChart>
      <c:catAx>
        <c:axId val="205834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087151"/>
        <c:crosses val="autoZero"/>
        <c:auto val="1"/>
        <c:lblAlgn val="ctr"/>
        <c:lblOffset val="100"/>
        <c:noMultiLvlLbl val="0"/>
      </c:catAx>
      <c:valAx>
        <c:axId val="204808715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34657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[Sales_Dashboard_Project_clean.xlsx]Pivot_Analysis!PivotTable3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14B8A6"/>
            </a:solidFill>
            <a:round/>
          </a:ln>
          <a:effectLst/>
        </c:spPr>
        <c:marker>
          <c:symbol val="square"/>
          <c:size val="5"/>
          <c:spPr>
            <a:solidFill>
              <a:srgbClr val="14B8A6"/>
            </a:solidFill>
            <a:ln w="9525">
              <a:solidFill>
                <a:srgbClr val="14B8A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14B8A6"/>
            </a:solidFill>
            <a:round/>
          </a:ln>
          <a:effectLst/>
        </c:spPr>
        <c:marker>
          <c:symbol val="none"/>
        </c:marker>
      </c:pivotFmt>
      <c:pivotFmt>
        <c:idx val="6"/>
        <c:spPr>
          <a:ln w="28575" cap="rnd">
            <a:solidFill>
              <a:srgbClr val="14B8A6"/>
            </a:solidFill>
            <a:round/>
          </a:ln>
          <a:effectLst/>
        </c:spPr>
        <c:marker>
          <c:symbol val="none"/>
        </c:marker>
      </c:pivotFmt>
      <c:pivotFmt>
        <c:idx val="7"/>
        <c:spPr>
          <a:ln w="28575" cap="rnd">
            <a:solidFill>
              <a:srgbClr val="14B8A6"/>
            </a:solidFill>
            <a:round/>
          </a:ln>
          <a:effectLst/>
        </c:spPr>
        <c:marker>
          <c:symbol val="none"/>
        </c:marker>
      </c:pivotFmt>
      <c:pivotFmt>
        <c:idx val="8"/>
        <c:spPr>
          <a:ln w="28575" cap="rnd">
            <a:solidFill>
              <a:srgbClr val="14B8A6"/>
            </a:solidFill>
            <a:round/>
          </a:ln>
          <a:effectLst/>
        </c:spPr>
        <c:marker>
          <c:symbol val="none"/>
        </c:marker>
      </c:pivotFmt>
      <c:pivotFmt>
        <c:idx val="9"/>
        <c:spPr>
          <a:ln w="28575" cap="rnd">
            <a:solidFill>
              <a:srgbClr val="14B8A6"/>
            </a:solidFill>
            <a:round/>
          </a:ln>
          <a:effectLst/>
        </c:spPr>
        <c:marker>
          <c:symbol val="none"/>
        </c:marker>
      </c:pivotFmt>
      <c:pivotFmt>
        <c:idx val="10"/>
        <c:spPr>
          <a:ln w="28575" cap="rnd">
            <a:solidFill>
              <a:srgbClr val="14B8A6"/>
            </a:solidFill>
            <a:round/>
          </a:ln>
          <a:effectLst/>
        </c:spPr>
        <c:marker>
          <c:symbol val="none"/>
        </c:marker>
      </c:pivotFmt>
      <c:pivotFmt>
        <c:idx val="11"/>
        <c:spPr>
          <a:ln w="28575" cap="rnd">
            <a:solidFill>
              <a:srgbClr val="14B8A6"/>
            </a:solidFill>
            <a:round/>
          </a:ln>
          <a:effectLst/>
        </c:spPr>
        <c:marker>
          <c:symbol val="none"/>
        </c:marker>
      </c:pivotFmt>
      <c:pivotFmt>
        <c:idx val="12"/>
        <c:spPr>
          <a:ln w="28575" cap="rnd">
            <a:solidFill>
              <a:srgbClr val="14B8A6"/>
            </a:solidFill>
            <a:round/>
          </a:ln>
          <a:effectLst/>
        </c:spPr>
        <c:marker>
          <c:symbol val="none"/>
        </c:marker>
      </c:pivotFmt>
      <c:pivotFmt>
        <c:idx val="13"/>
        <c:spPr>
          <a:ln w="28575" cap="rnd">
            <a:solidFill>
              <a:srgbClr val="14B8A6"/>
            </a:solidFill>
            <a:round/>
          </a:ln>
          <a:effectLst/>
        </c:spPr>
        <c:marker>
          <c:symbol val="none"/>
        </c:marker>
      </c:pivotFmt>
      <c:pivotFmt>
        <c:idx val="14"/>
        <c:spPr>
          <a:ln w="28575" cap="rnd">
            <a:solidFill>
              <a:srgbClr val="14B8A6"/>
            </a:solidFill>
            <a:round/>
          </a:ln>
          <a:effectLst/>
        </c:spPr>
        <c:marker>
          <c:symbol val="none"/>
        </c:marker>
      </c:pivotFmt>
      <c:pivotFmt>
        <c:idx val="15"/>
        <c:spPr>
          <a:ln w="28575" cap="rnd">
            <a:solidFill>
              <a:srgbClr val="14B8A6"/>
            </a:solidFill>
            <a:round/>
          </a:ln>
          <a:effectLst/>
        </c:spPr>
        <c:marker>
          <c:symbol val="none"/>
        </c:marker>
      </c:pivotFmt>
    </c:pivotFmts>
    <c:plotArea>
      <c:layout/>
      <c:lineChart>
        <c:grouping val="standard"/>
        <c:varyColors val="0"/>
        <c:ser>
          <c:idx val="0"/>
          <c:order val="0"/>
          <c:tx>
            <c:strRef>
              <c:f>Pivot_Analysis!$L$3</c:f>
              <c:strCache>
                <c:ptCount val="1"/>
                <c:pt idx="0">
                  <c:v>Total</c:v>
                </c:pt>
              </c:strCache>
            </c:strRef>
          </c:tx>
          <c:spPr>
            <a:ln w="28575" cap="rnd">
              <a:solidFill>
                <a:srgbClr val="14B8A6"/>
              </a:solidFill>
              <a:round/>
            </a:ln>
            <a:effectLst/>
          </c:spPr>
          <c:marker>
            <c:symbol val="square"/>
            <c:size val="5"/>
            <c:spPr>
              <a:solidFill>
                <a:srgbClr val="14B8A6"/>
              </a:solidFill>
              <a:ln w="9525">
                <a:solidFill>
                  <a:srgbClr val="14B8A6"/>
                </a:solidFill>
              </a:ln>
              <a:effectLst/>
            </c:spPr>
          </c:marker>
          <c:dPt>
            <c:idx val="0"/>
            <c:marker>
              <c:symbol val="none"/>
            </c:marker>
            <c:bubble3D val="0"/>
            <c:spPr>
              <a:ln w="28575" cap="rnd">
                <a:solidFill>
                  <a:srgbClr val="14B8A6"/>
                </a:solidFill>
                <a:round/>
              </a:ln>
              <a:effectLst/>
            </c:spPr>
            <c:extLst>
              <c:ext xmlns:c16="http://schemas.microsoft.com/office/drawing/2014/chart" uri="{C3380CC4-5D6E-409C-BE32-E72D297353CC}">
                <c16:uniqueId val="{00000000-E155-4CDF-A163-C5D2DEC20EA6}"/>
              </c:ext>
            </c:extLst>
          </c:dPt>
          <c:dPt>
            <c:idx val="1"/>
            <c:marker>
              <c:symbol val="none"/>
            </c:marker>
            <c:bubble3D val="0"/>
            <c:spPr>
              <a:ln w="28575" cap="rnd">
                <a:solidFill>
                  <a:srgbClr val="14B8A6"/>
                </a:solidFill>
                <a:round/>
              </a:ln>
              <a:effectLst/>
            </c:spPr>
            <c:extLst>
              <c:ext xmlns:c16="http://schemas.microsoft.com/office/drawing/2014/chart" uri="{C3380CC4-5D6E-409C-BE32-E72D297353CC}">
                <c16:uniqueId val="{0000000C-E155-4CDF-A163-C5D2DEC20EA6}"/>
              </c:ext>
            </c:extLst>
          </c:dPt>
          <c:dPt>
            <c:idx val="2"/>
            <c:marker>
              <c:symbol val="none"/>
            </c:marker>
            <c:bubble3D val="0"/>
            <c:spPr>
              <a:ln w="28575" cap="rnd">
                <a:solidFill>
                  <a:srgbClr val="14B8A6"/>
                </a:solidFill>
                <a:round/>
              </a:ln>
              <a:effectLst/>
            </c:spPr>
            <c:extLst>
              <c:ext xmlns:c16="http://schemas.microsoft.com/office/drawing/2014/chart" uri="{C3380CC4-5D6E-409C-BE32-E72D297353CC}">
                <c16:uniqueId val="{0000000B-E155-4CDF-A163-C5D2DEC20EA6}"/>
              </c:ext>
            </c:extLst>
          </c:dPt>
          <c:dPt>
            <c:idx val="3"/>
            <c:marker>
              <c:symbol val="none"/>
            </c:marker>
            <c:bubble3D val="0"/>
            <c:spPr>
              <a:ln w="28575" cap="rnd">
                <a:solidFill>
                  <a:srgbClr val="14B8A6"/>
                </a:solidFill>
                <a:round/>
              </a:ln>
              <a:effectLst/>
            </c:spPr>
            <c:extLst>
              <c:ext xmlns:c16="http://schemas.microsoft.com/office/drawing/2014/chart" uri="{C3380CC4-5D6E-409C-BE32-E72D297353CC}">
                <c16:uniqueId val="{0000000A-E155-4CDF-A163-C5D2DEC20EA6}"/>
              </c:ext>
            </c:extLst>
          </c:dPt>
          <c:dPt>
            <c:idx val="4"/>
            <c:marker>
              <c:symbol val="none"/>
            </c:marker>
            <c:bubble3D val="0"/>
            <c:spPr>
              <a:ln w="28575" cap="rnd">
                <a:solidFill>
                  <a:srgbClr val="14B8A6"/>
                </a:solidFill>
                <a:round/>
              </a:ln>
              <a:effectLst/>
            </c:spPr>
            <c:extLst>
              <c:ext xmlns:c16="http://schemas.microsoft.com/office/drawing/2014/chart" uri="{C3380CC4-5D6E-409C-BE32-E72D297353CC}">
                <c16:uniqueId val="{00000009-E155-4CDF-A163-C5D2DEC20EA6}"/>
              </c:ext>
            </c:extLst>
          </c:dPt>
          <c:dPt>
            <c:idx val="5"/>
            <c:marker>
              <c:symbol val="none"/>
            </c:marker>
            <c:bubble3D val="0"/>
            <c:spPr>
              <a:ln w="28575" cap="rnd">
                <a:solidFill>
                  <a:srgbClr val="14B8A6"/>
                </a:solidFill>
                <a:round/>
              </a:ln>
              <a:effectLst/>
            </c:spPr>
            <c:extLst>
              <c:ext xmlns:c16="http://schemas.microsoft.com/office/drawing/2014/chart" uri="{C3380CC4-5D6E-409C-BE32-E72D297353CC}">
                <c16:uniqueId val="{00000008-E155-4CDF-A163-C5D2DEC20EA6}"/>
              </c:ext>
            </c:extLst>
          </c:dPt>
          <c:dPt>
            <c:idx val="6"/>
            <c:marker>
              <c:symbol val="none"/>
            </c:marker>
            <c:bubble3D val="0"/>
            <c:spPr>
              <a:ln w="28575" cap="rnd">
                <a:solidFill>
                  <a:srgbClr val="14B8A6"/>
                </a:solidFill>
                <a:round/>
              </a:ln>
              <a:effectLst/>
            </c:spPr>
            <c:extLst>
              <c:ext xmlns:c16="http://schemas.microsoft.com/office/drawing/2014/chart" uri="{C3380CC4-5D6E-409C-BE32-E72D297353CC}">
                <c16:uniqueId val="{00000007-E155-4CDF-A163-C5D2DEC20EA6}"/>
              </c:ext>
            </c:extLst>
          </c:dPt>
          <c:dPt>
            <c:idx val="7"/>
            <c:marker>
              <c:symbol val="none"/>
            </c:marker>
            <c:bubble3D val="0"/>
            <c:spPr>
              <a:ln w="28575" cap="rnd">
                <a:solidFill>
                  <a:srgbClr val="14B8A6"/>
                </a:solidFill>
                <a:round/>
              </a:ln>
              <a:effectLst/>
            </c:spPr>
            <c:extLst>
              <c:ext xmlns:c16="http://schemas.microsoft.com/office/drawing/2014/chart" uri="{C3380CC4-5D6E-409C-BE32-E72D297353CC}">
                <c16:uniqueId val="{0000000D-E155-4CDF-A163-C5D2DEC20EA6}"/>
              </c:ext>
            </c:extLst>
          </c:dPt>
          <c:dPt>
            <c:idx val="8"/>
            <c:marker>
              <c:symbol val="none"/>
            </c:marker>
            <c:bubble3D val="0"/>
            <c:spPr>
              <a:ln w="28575" cap="rnd">
                <a:solidFill>
                  <a:srgbClr val="14B8A6"/>
                </a:solidFill>
                <a:round/>
              </a:ln>
              <a:effectLst/>
            </c:spPr>
            <c:extLst>
              <c:ext xmlns:c16="http://schemas.microsoft.com/office/drawing/2014/chart" uri="{C3380CC4-5D6E-409C-BE32-E72D297353CC}">
                <c16:uniqueId val="{00000006-E155-4CDF-A163-C5D2DEC20EA6}"/>
              </c:ext>
            </c:extLst>
          </c:dPt>
          <c:dPt>
            <c:idx val="9"/>
            <c:marker>
              <c:symbol val="none"/>
            </c:marker>
            <c:bubble3D val="0"/>
            <c:spPr>
              <a:ln w="28575" cap="rnd">
                <a:solidFill>
                  <a:srgbClr val="14B8A6"/>
                </a:solidFill>
                <a:round/>
              </a:ln>
              <a:effectLst/>
            </c:spPr>
            <c:extLst>
              <c:ext xmlns:c16="http://schemas.microsoft.com/office/drawing/2014/chart" uri="{C3380CC4-5D6E-409C-BE32-E72D297353CC}">
                <c16:uniqueId val="{00000005-E155-4CDF-A163-C5D2DEC20EA6}"/>
              </c:ext>
            </c:extLst>
          </c:dPt>
          <c:dPt>
            <c:idx val="10"/>
            <c:marker>
              <c:symbol val="none"/>
            </c:marker>
            <c:bubble3D val="0"/>
            <c:spPr>
              <a:ln w="28575" cap="rnd">
                <a:solidFill>
                  <a:srgbClr val="14B8A6"/>
                </a:solidFill>
                <a:round/>
              </a:ln>
              <a:effectLst/>
            </c:spPr>
            <c:extLst>
              <c:ext xmlns:c16="http://schemas.microsoft.com/office/drawing/2014/chart" uri="{C3380CC4-5D6E-409C-BE32-E72D297353CC}">
                <c16:uniqueId val="{00000004-E155-4CDF-A163-C5D2DEC20EA6}"/>
              </c:ext>
            </c:extLst>
          </c:dPt>
          <c:dPt>
            <c:idx val="11"/>
            <c:marker>
              <c:symbol val="none"/>
            </c:marker>
            <c:bubble3D val="0"/>
            <c:spPr>
              <a:ln w="28575" cap="rnd">
                <a:solidFill>
                  <a:srgbClr val="14B8A6"/>
                </a:solidFill>
                <a:round/>
              </a:ln>
              <a:effectLst/>
            </c:spPr>
            <c:extLst>
              <c:ext xmlns:c16="http://schemas.microsoft.com/office/drawing/2014/chart" uri="{C3380CC4-5D6E-409C-BE32-E72D297353CC}">
                <c16:uniqueId val="{00000001-E155-4CDF-A163-C5D2DEC20EA6}"/>
              </c:ext>
            </c:extLst>
          </c:dPt>
          <c:cat>
            <c:strRef>
              <c:f>Pivot_Analysis!$K$4:$K$16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Pivot_Analysis!$L$4:$L$16</c:f>
              <c:numCache>
                <c:formatCode>General</c:formatCode>
                <c:ptCount val="12"/>
                <c:pt idx="0">
                  <c:v>9674475</c:v>
                </c:pt>
                <c:pt idx="1">
                  <c:v>8877955</c:v>
                </c:pt>
                <c:pt idx="2">
                  <c:v>6546505</c:v>
                </c:pt>
                <c:pt idx="3">
                  <c:v>5914695</c:v>
                </c:pt>
                <c:pt idx="4">
                  <c:v>8721095</c:v>
                </c:pt>
                <c:pt idx="5">
                  <c:v>8311075</c:v>
                </c:pt>
                <c:pt idx="6">
                  <c:v>8688405</c:v>
                </c:pt>
                <c:pt idx="7">
                  <c:v>7910720</c:v>
                </c:pt>
                <c:pt idx="8">
                  <c:v>7563525</c:v>
                </c:pt>
                <c:pt idx="9">
                  <c:v>7690455</c:v>
                </c:pt>
                <c:pt idx="10">
                  <c:v>6224620</c:v>
                </c:pt>
                <c:pt idx="11">
                  <c:v>5607290</c:v>
                </c:pt>
              </c:numCache>
            </c:numRef>
          </c:val>
          <c:smooth val="0"/>
          <c:extLst>
            <c:ext xmlns:c16="http://schemas.microsoft.com/office/drawing/2014/chart" uri="{C3380CC4-5D6E-409C-BE32-E72D297353CC}">
              <c16:uniqueId val="{00000000-86C6-436E-AD00-9BDAAA4C60EF}"/>
            </c:ext>
          </c:extLst>
        </c:ser>
        <c:dLbls>
          <c:showLegendKey val="0"/>
          <c:showVal val="0"/>
          <c:showCatName val="0"/>
          <c:showSerName val="0"/>
          <c:showPercent val="0"/>
          <c:showBubbleSize val="0"/>
        </c:dLbls>
        <c:marker val="1"/>
        <c:smooth val="0"/>
        <c:axId val="2088753759"/>
        <c:axId val="2048125551"/>
      </c:lineChart>
      <c:catAx>
        <c:axId val="208875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125551"/>
        <c:crosses val="autoZero"/>
        <c:auto val="1"/>
        <c:lblAlgn val="ctr"/>
        <c:lblOffset val="100"/>
        <c:noMultiLvlLbl val="0"/>
      </c:catAx>
      <c:valAx>
        <c:axId val="2048125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75375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[Sales_Dashboard_Project_clean.xlsx]Pivot_Analysis!PivotTable4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Sales Rep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4B8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59E0B"/>
          </a:solidFill>
          <a:ln>
            <a:solidFill>
              <a:srgbClr val="F59E0B"/>
            </a:solidFill>
          </a:ln>
          <a:effectLst/>
        </c:spPr>
      </c:pivotFmt>
    </c:pivotFmts>
    <c:plotArea>
      <c:layout/>
      <c:barChart>
        <c:barDir val="bar"/>
        <c:grouping val="clustered"/>
        <c:varyColors val="0"/>
        <c:ser>
          <c:idx val="0"/>
          <c:order val="0"/>
          <c:tx>
            <c:strRef>
              <c:f>Pivot_Analysis!$P$3</c:f>
              <c:strCache>
                <c:ptCount val="1"/>
                <c:pt idx="0">
                  <c:v>Total</c:v>
                </c:pt>
              </c:strCache>
            </c:strRef>
          </c:tx>
          <c:spPr>
            <a:solidFill>
              <a:srgbClr val="14B8A6"/>
            </a:solidFill>
            <a:ln>
              <a:noFill/>
            </a:ln>
            <a:effectLst/>
          </c:spPr>
          <c:invertIfNegative val="0"/>
          <c:dPt>
            <c:idx val="0"/>
            <c:invertIfNegative val="0"/>
            <c:bubble3D val="0"/>
            <c:spPr>
              <a:solidFill>
                <a:srgbClr val="F59E0B"/>
              </a:solidFill>
              <a:ln>
                <a:solidFill>
                  <a:srgbClr val="F59E0B"/>
                </a:solidFill>
              </a:ln>
              <a:effectLst/>
            </c:spPr>
            <c:extLst>
              <c:ext xmlns:c16="http://schemas.microsoft.com/office/drawing/2014/chart" uri="{C3380CC4-5D6E-409C-BE32-E72D297353CC}">
                <c16:uniqueId val="{00000000-7E8C-476D-8F73-656A15DEC607}"/>
              </c:ext>
            </c:extLst>
          </c:dPt>
          <c:cat>
            <c:strRef>
              <c:f>Pivot_Analysis!$O$4:$O$12</c:f>
              <c:strCache>
                <c:ptCount val="8"/>
                <c:pt idx="0">
                  <c:v>Priya Kumar</c:v>
                </c:pt>
                <c:pt idx="1">
                  <c:v>Neha Reddy</c:v>
                </c:pt>
                <c:pt idx="2">
                  <c:v>Deepak Singh</c:v>
                </c:pt>
                <c:pt idx="3">
                  <c:v>Vikas Patel</c:v>
                </c:pt>
                <c:pt idx="4">
                  <c:v>Anita Verma</c:v>
                </c:pt>
                <c:pt idx="5">
                  <c:v>Sunita Gupta</c:v>
                </c:pt>
                <c:pt idx="6">
                  <c:v>Amit Shah</c:v>
                </c:pt>
                <c:pt idx="7">
                  <c:v>Rahul Sharma</c:v>
                </c:pt>
              </c:strCache>
            </c:strRef>
          </c:cat>
          <c:val>
            <c:numRef>
              <c:f>Pivot_Analysis!$P$4:$P$12</c:f>
              <c:numCache>
                <c:formatCode>General</c:formatCode>
                <c:ptCount val="8"/>
                <c:pt idx="0">
                  <c:v>15612530</c:v>
                </c:pt>
                <c:pt idx="1">
                  <c:v>13848810</c:v>
                </c:pt>
                <c:pt idx="2">
                  <c:v>12762740</c:v>
                </c:pt>
                <c:pt idx="3">
                  <c:v>11273110</c:v>
                </c:pt>
                <c:pt idx="4">
                  <c:v>10724775</c:v>
                </c:pt>
                <c:pt idx="5">
                  <c:v>10273310</c:v>
                </c:pt>
                <c:pt idx="6">
                  <c:v>9593940</c:v>
                </c:pt>
                <c:pt idx="7">
                  <c:v>7641600</c:v>
                </c:pt>
              </c:numCache>
            </c:numRef>
          </c:val>
          <c:extLst>
            <c:ext xmlns:c16="http://schemas.microsoft.com/office/drawing/2014/chart" uri="{C3380CC4-5D6E-409C-BE32-E72D297353CC}">
              <c16:uniqueId val="{00000000-B034-405E-A92A-6F7E183A007A}"/>
            </c:ext>
          </c:extLst>
        </c:ser>
        <c:dLbls>
          <c:showLegendKey val="0"/>
          <c:showVal val="0"/>
          <c:showCatName val="0"/>
          <c:showSerName val="0"/>
          <c:showPercent val="0"/>
          <c:showBubbleSize val="0"/>
        </c:dLbls>
        <c:gapWidth val="182"/>
        <c:axId val="60461727"/>
        <c:axId val="2048099631"/>
      </c:barChart>
      <c:catAx>
        <c:axId val="6046172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099631"/>
        <c:crosses val="autoZero"/>
        <c:auto val="1"/>
        <c:lblAlgn val="ctr"/>
        <c:lblOffset val="100"/>
        <c:noMultiLvlLbl val="0"/>
      </c:catAx>
      <c:valAx>
        <c:axId val="2048099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61727"/>
        <c:crosses val="max"/>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[Sales_Dashboard_Project_clean.xlsx]Pivot_Analysis!PivotTable5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and Profit Margin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4B8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59E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marker>
          <c:spPr>
            <a:solidFill>
              <a:srgbClr val="F59E0B"/>
            </a:solidFill>
            <a:ln w="9525">
              <a:solidFill>
                <a:srgbClr val="F59E0B"/>
              </a:solidFill>
            </a:ln>
            <a:effectLst/>
          </c:spPr>
        </c:marker>
      </c:pivotFmt>
      <c:pivotFmt>
        <c:idx val="14"/>
        <c:spPr>
          <a:ln w="28575" cap="rnd">
            <a:solidFill>
              <a:srgbClr val="F59E0B"/>
            </a:solidFill>
            <a:round/>
          </a:ln>
          <a:effectLst/>
        </c:spPr>
        <c:marker>
          <c:symbol val="none"/>
        </c:marker>
      </c:pivotFmt>
    </c:pivotFmts>
    <c:plotArea>
      <c:layout/>
      <c:barChart>
        <c:barDir val="col"/>
        <c:grouping val="clustered"/>
        <c:varyColors val="0"/>
        <c:ser>
          <c:idx val="0"/>
          <c:order val="0"/>
          <c:tx>
            <c:strRef>
              <c:f>Pivot_Analysis!$U$3</c:f>
              <c:strCache>
                <c:ptCount val="1"/>
                <c:pt idx="0">
                  <c:v>Revenue </c:v>
                </c:pt>
              </c:strCache>
            </c:strRef>
          </c:tx>
          <c:spPr>
            <a:solidFill>
              <a:srgbClr val="14B8A6"/>
            </a:solidFill>
            <a:ln>
              <a:noFill/>
            </a:ln>
            <a:effectLst/>
          </c:spPr>
          <c:invertIfNegative val="0"/>
          <c:cat>
            <c:strRef>
              <c:f>Pivot_Analysis!$T$4:$T$6</c:f>
              <c:strCache>
                <c:ptCount val="2"/>
                <c:pt idx="0">
                  <c:v>Accessories</c:v>
                </c:pt>
                <c:pt idx="1">
                  <c:v>Electronics</c:v>
                </c:pt>
              </c:strCache>
            </c:strRef>
          </c:cat>
          <c:val>
            <c:numRef>
              <c:f>Pivot_Analysis!$U$4:$U$6</c:f>
              <c:numCache>
                <c:formatCode>General</c:formatCode>
                <c:ptCount val="2"/>
                <c:pt idx="0">
                  <c:v>4668515</c:v>
                </c:pt>
                <c:pt idx="1">
                  <c:v>87062300</c:v>
                </c:pt>
              </c:numCache>
            </c:numRef>
          </c:val>
          <c:extLst>
            <c:ext xmlns:c16="http://schemas.microsoft.com/office/drawing/2014/chart" uri="{C3380CC4-5D6E-409C-BE32-E72D297353CC}">
              <c16:uniqueId val="{00000000-014A-459F-BEEC-CA734D93DFBB}"/>
            </c:ext>
          </c:extLst>
        </c:ser>
        <c:dLbls>
          <c:showLegendKey val="0"/>
          <c:showVal val="0"/>
          <c:showCatName val="0"/>
          <c:showSerName val="0"/>
          <c:showPercent val="0"/>
          <c:showBubbleSize val="0"/>
        </c:dLbls>
        <c:gapWidth val="219"/>
        <c:axId val="2051565471"/>
        <c:axId val="2048075631"/>
      </c:barChart>
      <c:lineChart>
        <c:grouping val="standard"/>
        <c:varyColors val="0"/>
        <c:ser>
          <c:idx val="1"/>
          <c:order val="1"/>
          <c:tx>
            <c:strRef>
              <c:f>Pivot_Analysis!$V$3</c:f>
              <c:strCache>
                <c:ptCount val="1"/>
                <c:pt idx="0">
                  <c:v>ProfitMargin </c:v>
                </c:pt>
              </c:strCache>
            </c:strRef>
          </c:tx>
          <c:spPr>
            <a:ln w="28575" cap="rnd">
              <a:solidFill>
                <a:srgbClr val="F59E0B"/>
              </a:solidFill>
              <a:round/>
            </a:ln>
            <a:effectLst/>
          </c:spPr>
          <c:marker>
            <c:symbol val="none"/>
          </c:marker>
          <c:cat>
            <c:strRef>
              <c:f>Pivot_Analysis!$T$4:$T$6</c:f>
              <c:strCache>
                <c:ptCount val="2"/>
                <c:pt idx="0">
                  <c:v>Accessories</c:v>
                </c:pt>
                <c:pt idx="1">
                  <c:v>Electronics</c:v>
                </c:pt>
              </c:strCache>
            </c:strRef>
          </c:cat>
          <c:val>
            <c:numRef>
              <c:f>Pivot_Analysis!$V$4:$V$6</c:f>
              <c:numCache>
                <c:formatCode>0.0%</c:formatCode>
                <c:ptCount val="2"/>
                <c:pt idx="0">
                  <c:v>0.31075299104747439</c:v>
                </c:pt>
                <c:pt idx="1">
                  <c:v>0.21564213212837244</c:v>
                </c:pt>
              </c:numCache>
            </c:numRef>
          </c:val>
          <c:smooth val="0"/>
          <c:extLst>
            <c:ext xmlns:c16="http://schemas.microsoft.com/office/drawing/2014/chart" uri="{C3380CC4-5D6E-409C-BE32-E72D297353CC}">
              <c16:uniqueId val="{00000001-014A-459F-BEEC-CA734D93DFBB}"/>
            </c:ext>
          </c:extLst>
        </c:ser>
        <c:dLbls>
          <c:showLegendKey val="0"/>
          <c:showVal val="0"/>
          <c:showCatName val="0"/>
          <c:showSerName val="0"/>
          <c:showPercent val="0"/>
          <c:showBubbleSize val="0"/>
        </c:dLbls>
        <c:marker val="1"/>
        <c:smooth val="0"/>
        <c:axId val="60867103"/>
        <c:axId val="2048031951"/>
      </c:lineChart>
      <c:catAx>
        <c:axId val="205156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075631"/>
        <c:crosses val="autoZero"/>
        <c:auto val="1"/>
        <c:lblAlgn val="ctr"/>
        <c:lblOffset val="100"/>
        <c:noMultiLvlLbl val="0"/>
      </c:catAx>
      <c:valAx>
        <c:axId val="2048075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565471"/>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2048031951"/>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67103"/>
        <c:crosses val="max"/>
        <c:crossBetween val="between"/>
      </c:valAx>
      <c:catAx>
        <c:axId val="60867103"/>
        <c:scaling>
          <c:orientation val="minMax"/>
        </c:scaling>
        <c:delete val="1"/>
        <c:axPos val="b"/>
        <c:numFmt formatCode="General" sourceLinked="1"/>
        <c:majorTickMark val="out"/>
        <c:minorTickMark val="none"/>
        <c:tickLblPos val="nextTo"/>
        <c:crossAx val="204803195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259772</xdr:colOff>
      <xdr:row>35</xdr:row>
      <xdr:rowOff>144319</xdr:rowOff>
    </xdr:from>
    <xdr:to>
      <xdr:col>9</xdr:col>
      <xdr:colOff>67349</xdr:colOff>
      <xdr:row>37</xdr:row>
      <xdr:rowOff>19242</xdr:rowOff>
    </xdr:to>
    <xdr:sp macro="" textlink="">
      <xdr:nvSpPr>
        <xdr:cNvPr id="7" name="TextBox 6">
          <a:extLst>
            <a:ext uri="{FF2B5EF4-FFF2-40B4-BE49-F238E27FC236}">
              <a16:creationId xmlns:a16="http://schemas.microsoft.com/office/drawing/2014/main" id="{F47FB540-565D-4574-2518-64548A8BD14F}"/>
            </a:ext>
          </a:extLst>
        </xdr:cNvPr>
        <xdr:cNvSpPr txBox="1"/>
      </xdr:nvSpPr>
      <xdr:spPr>
        <a:xfrm>
          <a:off x="2684317" y="6879167"/>
          <a:ext cx="2838259" cy="2597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Excludes 1 order with unknown product cost.</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7</xdr:row>
      <xdr:rowOff>105834</xdr:rowOff>
    </xdr:from>
    <xdr:to>
      <xdr:col>7</xdr:col>
      <xdr:colOff>511429</xdr:colOff>
      <xdr:row>19</xdr:row>
      <xdr:rowOff>87262</xdr:rowOff>
    </xdr:to>
    <xdr:graphicFrame macro="">
      <xdr:nvGraphicFramePr>
        <xdr:cNvPr id="2" name="Chart 1">
          <a:extLst>
            <a:ext uri="{FF2B5EF4-FFF2-40B4-BE49-F238E27FC236}">
              <a16:creationId xmlns:a16="http://schemas.microsoft.com/office/drawing/2014/main" id="{C553B2CC-7A17-4B1E-81A2-FD5D426A8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504091</xdr:colOff>
      <xdr:row>7</xdr:row>
      <xdr:rowOff>133813</xdr:rowOff>
    </xdr:from>
    <xdr:to>
      <xdr:col>15</xdr:col>
      <xdr:colOff>410757</xdr:colOff>
      <xdr:row>19</xdr:row>
      <xdr:rowOff>115241</xdr:rowOff>
    </xdr:to>
    <xdr:graphicFrame macro="">
      <xdr:nvGraphicFramePr>
        <xdr:cNvPr id="3" name="Chart 2">
          <a:extLst>
            <a:ext uri="{FF2B5EF4-FFF2-40B4-BE49-F238E27FC236}">
              <a16:creationId xmlns:a16="http://schemas.microsoft.com/office/drawing/2014/main" id="{D5E36CFD-5BDA-4880-95DD-80A0C9421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21285</xdr:colOff>
      <xdr:row>19</xdr:row>
      <xdr:rowOff>188058</xdr:rowOff>
    </xdr:from>
    <xdr:to>
      <xdr:col>7</xdr:col>
      <xdr:colOff>532714</xdr:colOff>
      <xdr:row>31</xdr:row>
      <xdr:rowOff>169487</xdr:rowOff>
    </xdr:to>
    <xdr:graphicFrame macro="">
      <xdr:nvGraphicFramePr>
        <xdr:cNvPr id="4" name="Chart 3">
          <a:extLst>
            <a:ext uri="{FF2B5EF4-FFF2-40B4-BE49-F238E27FC236}">
              <a16:creationId xmlns:a16="http://schemas.microsoft.com/office/drawing/2014/main" id="{CA46A42F-F2B5-4776-9F93-B62ED384A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486861</xdr:colOff>
      <xdr:row>20</xdr:row>
      <xdr:rowOff>407</xdr:rowOff>
    </xdr:from>
    <xdr:to>
      <xdr:col>15</xdr:col>
      <xdr:colOff>393527</xdr:colOff>
      <xdr:row>31</xdr:row>
      <xdr:rowOff>178383</xdr:rowOff>
    </xdr:to>
    <xdr:graphicFrame macro="">
      <xdr:nvGraphicFramePr>
        <xdr:cNvPr id="5" name="Chart 4">
          <a:extLst>
            <a:ext uri="{FF2B5EF4-FFF2-40B4-BE49-F238E27FC236}">
              <a16:creationId xmlns:a16="http://schemas.microsoft.com/office/drawing/2014/main" id="{1D067A6F-46E8-47D6-990C-E87C45A1D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309241</xdr:colOff>
      <xdr:row>20</xdr:row>
      <xdr:rowOff>3282</xdr:rowOff>
    </xdr:from>
    <xdr:to>
      <xdr:col>19</xdr:col>
      <xdr:colOff>275323</xdr:colOff>
      <xdr:row>31</xdr:row>
      <xdr:rowOff>131372</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D4F3FB61-D136-4E89-B25B-98B51F4ABBF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985431" y="4266853"/>
              <a:ext cx="1780368" cy="2290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295513</xdr:colOff>
      <xdr:row>7</xdr:row>
      <xdr:rowOff>135464</xdr:rowOff>
    </xdr:from>
    <xdr:to>
      <xdr:col>19</xdr:col>
      <xdr:colOff>261596</xdr:colOff>
      <xdr:row>19</xdr:row>
      <xdr:rowOff>67006</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40430F9-C632-4982-B842-EF06D8DC9CE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71703" y="1843916"/>
              <a:ext cx="1780369" cy="2290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305.566527430557" createdVersion="8" refreshedVersion="8" minRefreshableVersion="3" recordCount="988" xr:uid="{28FFA66E-0AE1-49CC-BD93-BC5C76B62C2E}">
  <cacheSource type="worksheet">
    <worksheetSource name="tblOrders"/>
  </cacheSource>
  <cacheFields count="17">
    <cacheField name="OrderID" numFmtId="0">
      <sharedItems count="988">
        <s v="ORD3001"/>
        <s v="ORD3002"/>
        <s v="ORD3003"/>
        <s v="ORD3004"/>
        <s v="ORD3005"/>
        <s v="ORD3006"/>
        <s v="ORD3007"/>
        <s v="ORD3008"/>
        <s v="ORD3009"/>
        <s v="ORD3010"/>
        <s v="ORD3011"/>
        <s v="ORD3012"/>
        <s v="ORD3013"/>
        <s v="ORD3014"/>
        <s v="ORD3015"/>
        <s v="ORD3016"/>
        <s v="ORD3017"/>
        <s v="ORD3018"/>
        <s v="ORD3019"/>
        <s v="ORD3020"/>
        <s v="ORD3021"/>
        <s v="ORD3022"/>
        <s v="ORD3023"/>
        <s v="ORD3024"/>
        <s v="ORD3025"/>
        <s v="ORD3026"/>
        <s v="ORD3027"/>
        <s v="ORD3028"/>
        <s v="ORD3029"/>
        <s v="ORD3030"/>
        <s v="ORD3031"/>
        <s v="ORD3032"/>
        <s v="ORD3033"/>
        <s v="ORD3034"/>
        <s v="ORD3035"/>
        <s v="ORD3036"/>
        <s v="ORD3037"/>
        <s v="ORD3038"/>
        <s v="ORD3039"/>
        <s v="ORD3040"/>
        <s v="ORD3041"/>
        <s v="ORD3042"/>
        <s v="ORD3043"/>
        <s v="ORD3044"/>
        <s v="ORD3045"/>
        <s v="ORD3046"/>
        <s v="ORD3047"/>
        <s v="ORD3048"/>
        <s v="ORD3049"/>
        <s v="ORD3050"/>
        <s v="ORD3051"/>
        <s v="ORD3052"/>
        <s v="ORD3053"/>
        <s v="ORD3054"/>
        <s v="ORD3055"/>
        <s v="ORD3056"/>
        <s v="ORD3057"/>
        <s v="ORD3058"/>
        <s v="ORD3059"/>
        <s v="ORD3060"/>
        <s v="ORD3061"/>
        <s v="ORD3062"/>
        <s v="ORD3063"/>
        <s v="ORD3064"/>
        <s v="ORD3065"/>
        <s v="ORD3066"/>
        <s v="ORD3067"/>
        <s v="ORD3068"/>
        <s v="ORD3069"/>
        <s v="ORD3070"/>
        <s v="ORD3071"/>
        <s v="ORD3072"/>
        <s v="ORD3073"/>
        <s v="ORD3074"/>
        <s v="ORD3075"/>
        <s v="ORD3076"/>
        <s v="ORD3077"/>
        <s v="ORD3078"/>
        <s v="ORD3079"/>
        <s v="ORD3080"/>
        <s v="ORD3081"/>
        <s v="ORD3082"/>
        <s v="ORD3083"/>
        <s v="ORD3084"/>
        <s v="ORD3085"/>
        <s v="ORD3086"/>
        <s v="ORD3087"/>
        <s v="ORD3088"/>
        <s v="ORD3089"/>
        <s v="ORD3090"/>
        <s v="ORD3091"/>
        <s v="ORD3092"/>
        <s v="ORD3093"/>
        <s v="ORD3094"/>
        <s v="ORD3095"/>
        <s v="ORD3096"/>
        <s v="ORD3097"/>
        <s v="ORD3098"/>
        <s v="ORD3099"/>
        <s v="ORD3100"/>
        <s v="ORD3101"/>
        <s v="ORD3102"/>
        <s v="ORD3104"/>
        <s v="ORD3105"/>
        <s v="ORD3106"/>
        <s v="ORD3107"/>
        <s v="ORD3108"/>
        <s v="ORD3109"/>
        <s v="ORD3110"/>
        <s v="ORD3111"/>
        <s v="ORD3112"/>
        <s v="ORD3113"/>
        <s v="ORD3114"/>
        <s v="ORD3115"/>
        <s v="ORD3116"/>
        <s v="ORD3117"/>
        <s v="ORD3118"/>
        <s v="ORD3119"/>
        <s v="ORD3120"/>
        <s v="ORD3121"/>
        <s v="ORD3122"/>
        <s v="ORD3123"/>
        <s v="ORD3124"/>
        <s v="ORD3125"/>
        <s v="ORD3126"/>
        <s v="ORD3127"/>
        <s v="ORD3128"/>
        <s v="ORD3129"/>
        <s v="ORD3130"/>
        <s v="ORD3131"/>
        <s v="ORD3132"/>
        <s v="ORD3133"/>
        <s v="ORD3134"/>
        <s v="ORD3135"/>
        <s v="ORD3136"/>
        <s v="ORD3137"/>
        <s v="ORD3138"/>
        <s v="ORD3139"/>
        <s v="ORD3140"/>
        <s v="ORD3141"/>
        <s v="ORD3142"/>
        <s v="ORD3143"/>
        <s v="ORD3144"/>
        <s v="ORD3145"/>
        <s v="ORD3146"/>
        <s v="ORD3147"/>
        <s v="ORD3148"/>
        <s v="ORD3149"/>
        <s v="ORD3150"/>
        <s v="ORD3151"/>
        <s v="ORD3153"/>
        <s v="ORD3154"/>
        <s v="ORD3155"/>
        <s v="ORD3156"/>
        <s v="ORD3157"/>
        <s v="ORD3158"/>
        <s v="ORD3159"/>
        <s v="ORD3160"/>
        <s v="ORD3161"/>
        <s v="ORD3162"/>
        <s v="ORD3163"/>
        <s v="ORD3164"/>
        <s v="ORD3165"/>
        <s v="ORD3166"/>
        <s v="ORD3167"/>
        <s v="ORD3168"/>
        <s v="ORD3169"/>
        <s v="ORD3170"/>
        <s v="ORD3171"/>
        <s v="ORD3173"/>
        <s v="ORD3174"/>
        <s v="ORD3175"/>
        <s v="ORD3176"/>
        <s v="ORD3177"/>
        <s v="ORD3178"/>
        <s v="ORD3179"/>
        <s v="ORD3180"/>
        <s v="ORD3181"/>
        <s v="ORD3182"/>
        <s v="ORD3183"/>
        <s v="ORD3184"/>
        <s v="ORD3185"/>
        <s v="ORD3186"/>
        <s v="ORD3187"/>
        <s v="ORD3188"/>
        <s v="ORD3189"/>
        <s v="ORD3190"/>
        <s v="ORD3191"/>
        <s v="ORD3192"/>
        <s v="ORD3193"/>
        <s v="ORD3194"/>
        <s v="ORD3195"/>
        <s v="ORD3196"/>
        <s v="ORD3197"/>
        <s v="ORD3198"/>
        <s v="ORD3199"/>
        <s v="ORD3200"/>
        <s v="ORD3201"/>
        <s v="ORD3202"/>
        <s v="ORD3203"/>
        <s v="ORD3204"/>
        <s v="ORD3205"/>
        <s v="ORD3206"/>
        <s v="ORD3207"/>
        <s v="ORD3208"/>
        <s v="ORD3209"/>
        <s v="ORD3210"/>
        <s v="ORD3211"/>
        <s v="ORD3212"/>
        <s v="ORD3213"/>
        <s v="ORD3214"/>
        <s v="ORD3215"/>
        <s v="ORD3216"/>
        <s v="ORD3217"/>
        <s v="ORD3218"/>
        <s v="ORD3219"/>
        <s v="ORD3220"/>
        <s v="ORD3221"/>
        <s v="ORD3222"/>
        <s v="ORD3223"/>
        <s v="ORD3224"/>
        <s v="ORD3225"/>
        <s v="ORD3226"/>
        <s v="ORD3227"/>
        <s v="ORD3228"/>
        <s v="ORD3229"/>
        <s v="ORD3230"/>
        <s v="ORD3231"/>
        <s v="ORD3232"/>
        <s v="ORD3233"/>
        <s v="ORD3234"/>
        <s v="ORD3235"/>
        <s v="ORD3236"/>
        <s v="ORD3237"/>
        <s v="ORD3238"/>
        <s v="ORD3239"/>
        <s v="ORD3240"/>
        <s v="ORD3241"/>
        <s v="ORD3242"/>
        <s v="ORD3243"/>
        <s v="ORD3244"/>
        <s v="ORD3245"/>
        <s v="ORD3246"/>
        <s v="ORD3247"/>
        <s v="ORD3248"/>
        <s v="ORD3249"/>
        <s v="ORD3250"/>
        <s v="ORD3251"/>
        <s v="ORD3252"/>
        <s v="ORD3253"/>
        <s v="ORD3254"/>
        <s v="ORD3255"/>
        <s v="ORD3256"/>
        <s v="ORD3257"/>
        <s v="ORD3258"/>
        <s v="ORD3260"/>
        <s v="ORD3261"/>
        <s v="ORD3262"/>
        <s v="ORD3263"/>
        <s v="ORD3264"/>
        <s v="ORD3265"/>
        <s v="ORD3266"/>
        <s v="ORD3267"/>
        <s v="ORD3268"/>
        <s v="ORD3269"/>
        <s v="ORD3270"/>
        <s v="ORD3271"/>
        <s v="ORD3272"/>
        <s v="ORD3273"/>
        <s v="ORD3274"/>
        <s v="ORD3275"/>
        <s v="ORD3276"/>
        <s v="ORD3277"/>
        <s v="ORD3278"/>
        <s v="ORD3279"/>
        <s v="ORD3280"/>
        <s v="ORD3281"/>
        <s v="ORD3282"/>
        <s v="ORD3283"/>
        <s v="ORD3284"/>
        <s v="ORD3285"/>
        <s v="ORD3286"/>
        <s v="ORD3287"/>
        <s v="ORD3289"/>
        <s v="ORD3290"/>
        <s v="ORD3291"/>
        <s v="ORD3292"/>
        <s v="ORD3293"/>
        <s v="ORD3294"/>
        <s v="ORD3295"/>
        <s v="ORD3296"/>
        <s v="ORD3297"/>
        <s v="ORD3298"/>
        <s v="ORD3299"/>
        <s v="ORD3300"/>
        <s v="ORD3301"/>
        <s v="ORD3302"/>
        <s v="ORD3303"/>
        <s v="ORD3304"/>
        <s v="ORD3305"/>
        <s v="ORD3307"/>
        <s v="ORD3308"/>
        <s v="ORD3309"/>
        <s v="ORD3310"/>
        <s v="ORD3311"/>
        <s v="ORD3312"/>
        <s v="ORD3313"/>
        <s v="ORD3314"/>
        <s v="ORD3315"/>
        <s v="ORD3316"/>
        <s v="ORD3317"/>
        <s v="ORD3318"/>
        <s v="ORD3319"/>
        <s v="ORD3320"/>
        <s v="ORD3321"/>
        <s v="ORD3322"/>
        <s v="ORD3323"/>
        <s v="ORD3324"/>
        <s v="ORD3325"/>
        <s v="ORD3326"/>
        <s v="ORD3327"/>
        <s v="ORD3328"/>
        <s v="ORD3329"/>
        <s v="ORD3330"/>
        <s v="ORD3331"/>
        <s v="ORD3332"/>
        <s v="ORD3333"/>
        <s v="ORD3334"/>
        <s v="ORD3335"/>
        <s v="ORD3336"/>
        <s v="ORD3337"/>
        <s v="ORD3338"/>
        <s v="ORD3339"/>
        <s v="ORD3340"/>
        <s v="ORD3341"/>
        <s v="ORD3342"/>
        <s v="ORD3343"/>
        <s v="ORD3344"/>
        <s v="ORD3345"/>
        <s v="ORD3346"/>
        <s v="ORD3347"/>
        <s v="ORD3348"/>
        <s v="ORD3349"/>
        <s v="ORD3350"/>
        <s v="ORD3351"/>
        <s v="ORD3352"/>
        <s v="ORD3353"/>
        <s v="ORD3354"/>
        <s v="ORD3355"/>
        <s v="ORD3356"/>
        <s v="ORD3357"/>
        <s v="ORD3358"/>
        <s v="ORD3359"/>
        <s v="ORD3360"/>
        <s v="ORD3361"/>
        <s v="ORD3362"/>
        <s v="ORD3363"/>
        <s v="ORD3364"/>
        <s v="ORD3365"/>
        <s v="ORD3366"/>
        <s v="ORD3367"/>
        <s v="ORD3368"/>
        <s v="ORD3369"/>
        <s v="ORD3370"/>
        <s v="ORD3371"/>
        <s v="ORD3372"/>
        <s v="ORD3373"/>
        <s v="ORD3374"/>
        <s v="ORD3375"/>
        <s v="ORD3376"/>
        <s v="ORD3377"/>
        <s v="ORD3378"/>
        <s v="ORD3379"/>
        <s v="ORD3380"/>
        <s v="ORD3381"/>
        <s v="ORD3382"/>
        <s v="ORD3383"/>
        <s v="ORD3384"/>
        <s v="ORD3385"/>
        <s v="ORD3386"/>
        <s v="ORD3387"/>
        <s v="ORD3388"/>
        <s v="ORD3389"/>
        <s v="ORD3390"/>
        <s v="ORD3391"/>
        <s v="ORD3392"/>
        <s v="ORD3393"/>
        <s v="ORD3394"/>
        <s v="ORD3395"/>
        <s v="ORD3396"/>
        <s v="ORD3397"/>
        <s v="ORD3398"/>
        <s v="ORD3399"/>
        <s v="ORD3400"/>
        <s v="ORD3401"/>
        <s v="ORD3402"/>
        <s v="ORD3403"/>
        <s v="ORD3404"/>
        <s v="ORD3405"/>
        <s v="ORD3406"/>
        <s v="ORD3407"/>
        <s v="ORD3408"/>
        <s v="ORD3409"/>
        <s v="ORD3410"/>
        <s v="ORD3411"/>
        <s v="ORD3412"/>
        <s v="ORD3413"/>
        <s v="ORD3414"/>
        <s v="ORD3415"/>
        <s v="ORD3416"/>
        <s v="ORD3417"/>
        <s v="ORD3418"/>
        <s v="ORD3419"/>
        <s v="ORD3420"/>
        <s v="ORD3421"/>
        <s v="ORD3422"/>
        <s v="ORD3423"/>
        <s v="ORD3424"/>
        <s v="ORD3425"/>
        <s v="ORD3426"/>
        <s v="ORD3427"/>
        <s v="ORD3428"/>
        <s v="ORD3429"/>
        <s v="ORD3430"/>
        <s v="ORD3431"/>
        <s v="ORD3432"/>
        <s v="ORD3433"/>
        <s v="ORD3434"/>
        <s v="ORD3435"/>
        <s v="ORD3436"/>
        <s v="ORD3437"/>
        <s v="ORD3438"/>
        <s v="ORD3439"/>
        <s v="ORD3440"/>
        <s v="ORD3441"/>
        <s v="ORD3442"/>
        <s v="ORD3443"/>
        <s v="ORD3444"/>
        <s v="ORD3445"/>
        <s v="ORD3446"/>
        <s v="ORD3447"/>
        <s v="ORD3448"/>
        <s v="ORD3449"/>
        <s v="ORD3450"/>
        <s v="ORD3451"/>
        <s v="ORD3452"/>
        <s v="ORD3453"/>
        <s v="ORD3454"/>
        <s v="ORD3455"/>
        <s v="ORD3456"/>
        <s v="ORD3457"/>
        <s v="ORD3458"/>
        <s v="ORD3459"/>
        <s v="ORD3460"/>
        <s v="ORD3461"/>
        <s v="ORD3462"/>
        <s v="ORD3463"/>
        <s v="ORD3464"/>
        <s v="ORD3466"/>
        <s v="ORD3467"/>
        <s v="ORD3468"/>
        <s v="ORD3469"/>
        <s v="ORD3470"/>
        <s v="ORD3471"/>
        <s v="ORD3472"/>
        <s v="ORD3473"/>
        <s v="ORD3474"/>
        <s v="ORD3475"/>
        <s v="ORD3476"/>
        <s v="ORD3477"/>
        <s v="ORD3478"/>
        <s v="ORD3479"/>
        <s v="ORD3480"/>
        <s v="ORD3481"/>
        <s v="ORD3482"/>
        <s v="ORD3483"/>
        <s v="ORD3484"/>
        <s v="ORD3485"/>
        <s v="ORD3486"/>
        <s v="ORD3487"/>
        <s v="ORD3488"/>
        <s v="ORD3489"/>
        <s v="ORD3490"/>
        <s v="ORD3491"/>
        <s v="ORD3492"/>
        <s v="ORD3493"/>
        <s v="ORD3494"/>
        <s v="ORD3495"/>
        <s v="ORD3496"/>
        <s v="ORD3497"/>
        <s v="ORD3498"/>
        <s v="ORD3499"/>
        <s v="ORD3500"/>
        <s v="ORD3501"/>
        <s v="ORD3502"/>
        <s v="ORD3503"/>
        <s v="ORD3504"/>
        <s v="ORD3505"/>
        <s v="ORD3506"/>
        <s v="ORD3507"/>
        <s v="ORD3508"/>
        <s v="ORD3509"/>
        <s v="ORD3510"/>
        <s v="ORD3511"/>
        <s v="ORD3512"/>
        <s v="ORD3513"/>
        <s v="ORD3514"/>
        <s v="ORD3515"/>
        <s v="ORD3516"/>
        <s v="ORD3517"/>
        <s v="ORD3518"/>
        <s v="ORD3519"/>
        <s v="ORD3520"/>
        <s v="ORD3521"/>
        <s v="ORD3522"/>
        <s v="ORD3523"/>
        <s v="ORD3524"/>
        <s v="ORD3525"/>
        <s v="ORD3526"/>
        <s v="ORD3527"/>
        <s v="ORD3528"/>
        <s v="ORD3529"/>
        <s v="ORD3530"/>
        <s v="ORD3531"/>
        <s v="ORD3532"/>
        <s v="ORD3533"/>
        <s v="ORD3534"/>
        <s v="ORD3535"/>
        <s v="ORD3536"/>
        <s v="ORD3537"/>
        <s v="ORD3538"/>
        <s v="ORD3539"/>
        <s v="ORD3540"/>
        <s v="ORD3541"/>
        <s v="ORD3542"/>
        <s v="ORD3543"/>
        <s v="ORD3544"/>
        <s v="ORD3545"/>
        <s v="ORD3546"/>
        <s v="ORD3547"/>
        <s v="ORD3548"/>
        <s v="ORD3549"/>
        <s v="ORD3550"/>
        <s v="ORD3551"/>
        <s v="ORD3552"/>
        <s v="ORD3553"/>
        <s v="ORD3554"/>
        <s v="ORD3555"/>
        <s v="ORD3556"/>
        <s v="ORD3557"/>
        <s v="ORD3558"/>
        <s v="ORD3559"/>
        <s v="ORD3560"/>
        <s v="ORD3561"/>
        <s v="ORD3562"/>
        <s v="ORD3563"/>
        <s v="ORD3564"/>
        <s v="ORD3566"/>
        <s v="ORD3567"/>
        <s v="ORD3568"/>
        <s v="ORD3569"/>
        <s v="ORD3570"/>
        <s v="ORD3571"/>
        <s v="ORD3572"/>
        <s v="ORD3573"/>
        <s v="ORD3574"/>
        <s v="ORD3575"/>
        <s v="ORD3576"/>
        <s v="ORD3577"/>
        <s v="ORD3578"/>
        <s v="ORD3579"/>
        <s v="ORD3581"/>
        <s v="ORD3582"/>
        <s v="ORD3583"/>
        <s v="ORD3584"/>
        <s v="ORD3585"/>
        <s v="ORD3586"/>
        <s v="ORD3587"/>
        <s v="ORD3588"/>
        <s v="ORD3589"/>
        <s v="ORD3590"/>
        <s v="ORD3591"/>
        <s v="ORD3592"/>
        <s v="ORD3593"/>
        <s v="ORD3594"/>
        <s v="ORD3595"/>
        <s v="ORD3596"/>
        <s v="ORD3597"/>
        <s v="ORD3598"/>
        <s v="ORD3599"/>
        <s v="ORD3600"/>
        <s v="ORD3601"/>
        <s v="ORD3602"/>
        <s v="ORD3603"/>
        <s v="ORD3604"/>
        <s v="ORD3605"/>
        <s v="ORD3606"/>
        <s v="ORD3607"/>
        <s v="ORD3608"/>
        <s v="ORD3609"/>
        <s v="ORD3610"/>
        <s v="ORD3611"/>
        <s v="ORD3612"/>
        <s v="ORD3613"/>
        <s v="ORD3614"/>
        <s v="ORD3615"/>
        <s v="ORD3616"/>
        <s v="ORD3617"/>
        <s v="ORD3618"/>
        <s v="ORD3619"/>
        <s v="ORD3620"/>
        <s v="ORD3621"/>
        <s v="ORD3622"/>
        <s v="ORD3623"/>
        <s v="ORD3624"/>
        <s v="ORD3625"/>
        <s v="ORD3626"/>
        <s v="ORD3627"/>
        <s v="ORD3628"/>
        <s v="ORD3629"/>
        <s v="ORD3630"/>
        <s v="ORD3631"/>
        <s v="ORD3632"/>
        <s v="ORD3633"/>
        <s v="ORD3634"/>
        <s v="ORD3635"/>
        <s v="ORD3636"/>
        <s v="ORD3637"/>
        <s v="ORD3638"/>
        <s v="ORD3639"/>
        <s v="ORD3640"/>
        <s v="ORD3641"/>
        <s v="ORD3642"/>
        <s v="ORD3643"/>
        <s v="ORD3644"/>
        <s v="ORD3645"/>
        <s v="ORD3646"/>
        <s v="ORD3647"/>
        <s v="ORD3648"/>
        <s v="ORD3649"/>
        <s v="ORD3650"/>
        <s v="ORD3651"/>
        <s v="ORD3652"/>
        <s v="ORD3653"/>
        <s v="ORD3654"/>
        <s v="ORD3655"/>
        <s v="ORD3656"/>
        <s v="ORD3657"/>
        <s v="ORD3658"/>
        <s v="ORD3659"/>
        <s v="ORD3660"/>
        <s v="ORD3661"/>
        <s v="ORD3662"/>
        <s v="ORD3663"/>
        <s v="ORD3664"/>
        <s v="ORD3665"/>
        <s v="ORD3666"/>
        <s v="ORD3667"/>
        <s v="ORD3668"/>
        <s v="ORD3669"/>
        <s v="ORD3670"/>
        <s v="ORD3671"/>
        <s v="ORD3672"/>
        <s v="ORD3673"/>
        <s v="ORD3674"/>
        <s v="ORD3675"/>
        <s v="ORD3676"/>
        <s v="ORD3677"/>
        <s v="ORD3678"/>
        <s v="ORD3679"/>
        <s v="ORD3680"/>
        <s v="ORD3681"/>
        <s v="ORD3682"/>
        <s v="ORD3683"/>
        <s v="ORD3684"/>
        <s v="ORD3685"/>
        <s v="ORD3686"/>
        <s v="ORD3687"/>
        <s v="ORD3688"/>
        <s v="ORD3689"/>
        <s v="ORD3690"/>
        <s v="ORD3691"/>
        <s v="ORD3692"/>
        <s v="ORD3693"/>
        <s v="ORD3694"/>
        <s v="ORD3695"/>
        <s v="ORD3696"/>
        <s v="ORD3697"/>
        <s v="ORD3698"/>
        <s v="ORD3699"/>
        <s v="ORD3700"/>
        <s v="ORD3701"/>
        <s v="ORD3702"/>
        <s v="ORD3703"/>
        <s v="ORD3704"/>
        <s v="ORD3705"/>
        <s v="ORD3706"/>
        <s v="ORD3707"/>
        <s v="ORD3708"/>
        <s v="ORD3709"/>
        <s v="ORD3710"/>
        <s v="ORD3711"/>
        <s v="ORD3712"/>
        <s v="ORD3713"/>
        <s v="ORD3714"/>
        <s v="ORD3715"/>
        <s v="ORD3716"/>
        <s v="ORD3717"/>
        <s v="ORD3718"/>
        <s v="ORD3719"/>
        <s v="ORD3720"/>
        <s v="ORD3721"/>
        <s v="ORD3722"/>
        <s v="ORD3723"/>
        <s v="ORD3724"/>
        <s v="ORD3725"/>
        <s v="ORD3726"/>
        <s v="ORD3727"/>
        <s v="ORD3728"/>
        <s v="ORD3729"/>
        <s v="ORD3730"/>
        <s v="ORD3731"/>
        <s v="ORD3732"/>
        <s v="ORD3733"/>
        <s v="ORD3734"/>
        <s v="ORD3735"/>
        <s v="ORD3736"/>
        <s v="ORD3737"/>
        <s v="ORD3738"/>
        <s v="ORD3739"/>
        <s v="ORD3740"/>
        <s v="ORD3741"/>
        <s v="ORD3742"/>
        <s v="ORD3743"/>
        <s v="ORD3744"/>
        <s v="ORD3745"/>
        <s v="ORD3746"/>
        <s v="ORD3747"/>
        <s v="ORD3748"/>
        <s v="ORD3749"/>
        <s v="ORD3750"/>
        <s v="ORD3751"/>
        <s v="ORD3752"/>
        <s v="ORD3753"/>
        <s v="ORD3754"/>
        <s v="ORD3755"/>
        <s v="ORD3756"/>
        <s v="ORD3757"/>
        <s v="ORD3758"/>
        <s v="ORD3759"/>
        <s v="ORD3760"/>
        <s v="ORD3761"/>
        <s v="ORD3762"/>
        <s v="ORD3763"/>
        <s v="ORD3764"/>
        <s v="ORD3765"/>
        <s v="ORD3766"/>
        <s v="ORD3767"/>
        <s v="ORD3768"/>
        <s v="ORD3769"/>
        <s v="ORD3770"/>
        <s v="ORD3771"/>
        <s v="ORD3772"/>
        <s v="ORD3773"/>
        <s v="ORD3774"/>
        <s v="ORD3775"/>
        <s v="ORD3776"/>
        <s v="ORD3777"/>
        <s v="ORD3778"/>
        <s v="ORD3779"/>
        <s v="ORD3780"/>
        <s v="ORD3782"/>
        <s v="ORD3783"/>
        <s v="ORD3784"/>
        <s v="ORD3785"/>
        <s v="ORD3786"/>
        <s v="ORD3787"/>
        <s v="ORD3788"/>
        <s v="ORD3789"/>
        <s v="ORD3790"/>
        <s v="ORD3791"/>
        <s v="ORD3792"/>
        <s v="ORD3793"/>
        <s v="ORD3794"/>
        <s v="ORD3795"/>
        <s v="ORD3796"/>
        <s v="ORD3797"/>
        <s v="ORD3798"/>
        <s v="ORD3799"/>
        <s v="ORD3800"/>
        <s v="ORD3801"/>
        <s v="ORD3802"/>
        <s v="ORD3803"/>
        <s v="ORD3804"/>
        <s v="ORD3805"/>
        <s v="ORD3806"/>
        <s v="ORD3807"/>
        <s v="ORD3808"/>
        <s v="ORD3809"/>
        <s v="ORD3810"/>
        <s v="ORD3811"/>
        <s v="ORD3812"/>
        <s v="ORD3813"/>
        <s v="ORD3814"/>
        <s v="ORD3815"/>
        <s v="ORD3816"/>
        <s v="ORD3818"/>
        <s v="ORD3819"/>
        <s v="ORD3820"/>
        <s v="ORD3821"/>
        <s v="ORD3822"/>
        <s v="ORD3823"/>
        <s v="ORD3824"/>
        <s v="ORD3825"/>
        <s v="ORD3826"/>
        <s v="ORD3827"/>
        <s v="ORD3828"/>
        <s v="ORD3829"/>
        <s v="ORD3830"/>
        <s v="ORD3831"/>
        <s v="ORD3832"/>
        <s v="ORD3833"/>
        <s v="ORD3834"/>
        <s v="ORD3835"/>
        <s v="ORD3836"/>
        <s v="ORD3837"/>
        <s v="ORD3838"/>
        <s v="ORD3839"/>
        <s v="ORD3840"/>
        <s v="ORD3841"/>
        <s v="ORD3842"/>
        <s v="ORD3843"/>
        <s v="ORD3844"/>
        <s v="ORD3845"/>
        <s v="ORD3846"/>
        <s v="ORD3847"/>
        <s v="ORD3848"/>
        <s v="ORD3849"/>
        <s v="ORD3850"/>
        <s v="ORD3851"/>
        <s v="ORD3852"/>
        <s v="ORD3853"/>
        <s v="ORD3854"/>
        <s v="ORD3855"/>
        <s v="ORD3856"/>
        <s v="ORD3857"/>
        <s v="ORD3858"/>
        <s v="ORD3859"/>
        <s v="ORD3860"/>
        <s v="ORD3861"/>
        <s v="ORD3862"/>
        <s v="ORD3863"/>
        <s v="ORD3864"/>
        <s v="ORD3865"/>
        <s v="ORD3866"/>
        <s v="ORD3867"/>
        <s v="ORD3868"/>
        <s v="ORD3869"/>
        <s v="ORD3870"/>
        <s v="ORD3871"/>
        <s v="ORD3872"/>
        <s v="ORD3873"/>
        <s v="ORD3874"/>
        <s v="ORD3875"/>
        <s v="ORD3876"/>
        <s v="ORD3877"/>
        <s v="ORD3878"/>
        <s v="ORD3879"/>
        <s v="ORD3880"/>
        <s v="ORD3881"/>
        <s v="ORD3882"/>
        <s v="ORD3883"/>
        <s v="ORD3885"/>
        <s v="ORD3886"/>
        <s v="ORD3887"/>
        <s v="ORD3888"/>
        <s v="ORD3889"/>
        <s v="ORD3890"/>
        <s v="ORD3891"/>
        <s v="ORD3892"/>
        <s v="ORD3893"/>
        <s v="ORD3894"/>
        <s v="ORD3895"/>
        <s v="ORD3896"/>
        <s v="ORD3897"/>
        <s v="ORD3898"/>
        <s v="ORD3899"/>
        <s v="ORD3900"/>
        <s v="ORD3901"/>
        <s v="ORD3902"/>
        <s v="ORD3903"/>
        <s v="ORD3904"/>
        <s v="ORD3905"/>
        <s v="ORD3906"/>
        <s v="ORD3907"/>
        <s v="ORD3908"/>
        <s v="ORD3909"/>
        <s v="ORD3910"/>
        <s v="ORD3911"/>
        <s v="ORD3912"/>
        <s v="ORD3913"/>
        <s v="ORD3914"/>
        <s v="ORD3915"/>
        <s v="ORD3916"/>
        <s v="ORD3917"/>
        <s v="ORD3918"/>
        <s v="ORD3919"/>
        <s v="ORD3920"/>
        <s v="ORD3921"/>
        <s v="ORD3922"/>
        <s v="ORD3923"/>
        <s v="ORD3924"/>
        <s v="ORD3925"/>
        <s v="ORD3926"/>
        <s v="ORD3927"/>
        <s v="ORD3928"/>
        <s v="ORD3929"/>
        <s v="ORD3930"/>
        <s v="ORD3931"/>
        <s v="ORD3932"/>
        <s v="ORD3933"/>
        <s v="ORD3934"/>
        <s v="ORD3935"/>
        <s v="ORD3936"/>
        <s v="ORD3937"/>
        <s v="ORD3938"/>
        <s v="ORD3939"/>
        <s v="ORD3940"/>
        <s v="ORD3941"/>
        <s v="ORD3942"/>
        <s v="ORD3943"/>
        <s v="ORD3944"/>
        <s v="ORD3945"/>
        <s v="ORD3946"/>
        <s v="ORD3947"/>
        <s v="ORD3948"/>
        <s v="ORD3949"/>
        <s v="ORD3950"/>
        <s v="ORD3951"/>
        <s v="ORD3952"/>
        <s v="ORD3953"/>
        <s v="ORD3954"/>
        <s v="ORD3955"/>
        <s v="ORD3956"/>
        <s v="ORD3957"/>
        <s v="ORD3958"/>
        <s v="ORD3959"/>
        <s v="ORD3960"/>
        <s v="ORD3961"/>
        <s v="ORD3962"/>
        <s v="ORD3963"/>
        <s v="ORD3964"/>
        <s v="ORD3965"/>
        <s v="ORD3966"/>
        <s v="ORD3967"/>
        <s v="ORD3968"/>
        <s v="ORD3969"/>
        <s v="ORD3970"/>
        <s v="ORD3971"/>
        <s v="ORD3972"/>
        <s v="ORD3973"/>
        <s v="ORD3974"/>
        <s v="ORD3975"/>
        <s v="ORD3976"/>
        <s v="ORD3977"/>
        <s v="ORD3978"/>
        <s v="ORD3979"/>
        <s v="ORD3980"/>
        <s v="ORD3981"/>
        <s v="ORD3982"/>
        <s v="ORD3983"/>
        <s v="ORD3984"/>
        <s v="ORD3985"/>
        <s v="ORD3986"/>
        <s v="ORD3987"/>
        <s v="ORD3988"/>
        <s v="ORD3989"/>
        <s v="ORD3990"/>
        <s v="ORD3991"/>
        <s v="ORD3992"/>
        <s v="ORD3993"/>
        <s v="ORD3994"/>
        <s v="ORD3995"/>
        <s v="ORD3996"/>
        <s v="ORD3997"/>
        <s v="ORD3998"/>
        <s v="ORD3999"/>
        <s v="ORD4000"/>
      </sharedItems>
    </cacheField>
    <cacheField name="OrderDate" numFmtId="164">
      <sharedItems containsSemiMixedTypes="0" containsNonDate="0" containsDate="1" containsString="0" minDate="2025-01-01T00:00:00" maxDate="2026-01-01T00:00:00"/>
    </cacheField>
    <cacheField name="Customer" numFmtId="0">
      <sharedItems/>
    </cacheField>
    <cacheField name="Region" numFmtId="0">
      <sharedItems count="4">
        <s v="West"/>
        <s v="North"/>
        <s v="South"/>
        <s v="East"/>
      </sharedItems>
    </cacheField>
    <cacheField name="SalesRep" numFmtId="0">
      <sharedItems count="8">
        <s v="Amit Shah"/>
        <s v="Rahul Sharma"/>
        <s v="Vikas Patel"/>
        <s v="Priya Kumar"/>
        <s v="Sunita Gupta"/>
        <s v="Anita Verma"/>
        <s v="Deepak Singh"/>
        <s v="Neha Reddy"/>
      </sharedItems>
    </cacheField>
    <cacheField name="ProductID" numFmtId="0">
      <sharedItems/>
    </cacheField>
    <cacheField name="Quantity" numFmtId="0">
      <sharedItems containsSemiMixedTypes="0" containsString="0" containsNumber="1" containsInteger="1" minValue="1" maxValue="15"/>
    </cacheField>
    <cacheField name="UnitPrice" numFmtId="0">
      <sharedItems containsSemiMixedTypes="0" containsString="0" containsNumber="1" containsInteger="1" minValue="500" maxValue="55000"/>
    </cacheField>
    <cacheField name="Discount" numFmtId="0">
      <sharedItems containsSemiMixedTypes="0" containsString="0" containsNumber="1" minValue="0" maxValue="0.15"/>
    </cacheField>
    <cacheField name="ProductName" numFmtId="0">
      <sharedItems count="9">
        <s v="Webcam"/>
        <s v="Monitor"/>
        <s v="Headset"/>
        <s v="Tablet"/>
        <s v="Keyboard"/>
        <s v="Laptop"/>
        <s v="Printer"/>
        <s v="Mouse"/>
        <s v="Unknown"/>
      </sharedItems>
    </cacheField>
    <cacheField name="Category" numFmtId="0">
      <sharedItems count="3">
        <s v="Accessories"/>
        <s v="Electronics"/>
        <s v="Unknown"/>
      </sharedItems>
    </cacheField>
    <cacheField name="UnitCost" numFmtId="0">
      <sharedItems containsSemiMixedTypes="0" containsString="0" containsNumber="1" containsInteger="1" minValue="0" maxValue="41000"/>
    </cacheField>
    <cacheField name="Revenue" numFmtId="0">
      <sharedItems containsSemiMixedTypes="0" containsString="0" containsNumber="1" containsInteger="1" minValue="425" maxValue="825000"/>
    </cacheField>
    <cacheField name="Cost" numFmtId="0">
      <sharedItems containsSemiMixedTypes="0" containsString="0" containsNumber="1" containsInteger="1" minValue="0" maxValue="615000"/>
    </cacheField>
    <cacheField name="Profit" numFmtId="0">
      <sharedItems containsSemiMixedTypes="0" containsString="0" containsNumber="1" containsInteger="1" minValue="105" maxValue="396000"/>
    </cacheField>
    <cacheField name="Month" numFmtId="0">
      <sharedItems count="12">
        <s v="Aug"/>
        <s v="Sep"/>
        <s v="Feb"/>
        <s v="Nov"/>
        <s v="Jun"/>
        <s v="Jul"/>
        <s v="Apr"/>
        <s v="Mar"/>
        <s v="May"/>
        <s v="Jan"/>
        <s v="Oct"/>
        <s v="Dec"/>
      </sharedItems>
    </cacheField>
    <cacheField name="ProfitMargin" numFmtId="0" formula="Profit/Revenue" databaseField="0"/>
  </cacheFields>
  <extLst>
    <ext xmlns:x14="http://schemas.microsoft.com/office/spreadsheetml/2009/9/main" uri="{725AE2AE-9491-48be-B2B4-4EB974FC3084}">
      <x14:pivotCacheDefinition pivotCacheId="6576102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8">
  <r>
    <x v="0"/>
    <d v="2025-08-20T00:00:00"/>
    <s v="Customer 013"/>
    <x v="0"/>
    <x v="0"/>
    <s v="P108"/>
    <n v="9"/>
    <n v="1500"/>
    <n v="0.1"/>
    <x v="0"/>
    <x v="0"/>
    <n v="980"/>
    <n v="12150"/>
    <n v="8820"/>
    <n v="3330"/>
    <x v="0"/>
  </r>
  <r>
    <x v="1"/>
    <d v="2025-09-20T00:00:00"/>
    <s v="Customer 020"/>
    <x v="0"/>
    <x v="0"/>
    <s v="P103"/>
    <n v="2"/>
    <n v="12000"/>
    <n v="0.05"/>
    <x v="1"/>
    <x v="1"/>
    <n v="9000"/>
    <n v="22800"/>
    <n v="18000"/>
    <n v="4800"/>
    <x v="1"/>
  </r>
  <r>
    <x v="2"/>
    <d v="2025-02-16T00:00:00"/>
    <s v="Customer 048"/>
    <x v="1"/>
    <x v="1"/>
    <s v="P107"/>
    <n v="8"/>
    <n v="2000"/>
    <n v="0.15"/>
    <x v="2"/>
    <x v="0"/>
    <n v="1300"/>
    <n v="13600"/>
    <n v="10400"/>
    <n v="3200"/>
    <x v="2"/>
  </r>
  <r>
    <x v="3"/>
    <d v="2025-11-16T00:00:00"/>
    <s v="Customer 013"/>
    <x v="1"/>
    <x v="1"/>
    <s v="P102"/>
    <n v="1"/>
    <n v="18000"/>
    <n v="0"/>
    <x v="3"/>
    <x v="1"/>
    <n v="13500"/>
    <n v="18000"/>
    <n v="13500"/>
    <n v="4500"/>
    <x v="3"/>
  </r>
  <r>
    <x v="4"/>
    <d v="2025-11-04T00:00:00"/>
    <s v="Customer 038"/>
    <x v="1"/>
    <x v="1"/>
    <s v="P108"/>
    <n v="6"/>
    <n v="1500"/>
    <n v="0.05"/>
    <x v="0"/>
    <x v="0"/>
    <n v="980"/>
    <n v="8550"/>
    <n v="5880"/>
    <n v="2670"/>
    <x v="3"/>
  </r>
  <r>
    <x v="5"/>
    <d v="2025-09-23T00:00:00"/>
    <s v="Customer 043"/>
    <x v="2"/>
    <x v="2"/>
    <s v="P105"/>
    <n v="8"/>
    <n v="900"/>
    <n v="0"/>
    <x v="4"/>
    <x v="0"/>
    <n v="600"/>
    <n v="7200"/>
    <n v="4800"/>
    <n v="2400"/>
    <x v="1"/>
  </r>
  <r>
    <x v="6"/>
    <d v="2025-08-23T00:00:00"/>
    <s v="Customer 046"/>
    <x v="3"/>
    <x v="3"/>
    <s v="P107"/>
    <n v="9"/>
    <n v="2000"/>
    <n v="0"/>
    <x v="2"/>
    <x v="0"/>
    <n v="1300"/>
    <n v="18000"/>
    <n v="11700"/>
    <n v="6300"/>
    <x v="0"/>
  </r>
  <r>
    <x v="7"/>
    <d v="2025-06-11T00:00:00"/>
    <s v="Customer 037"/>
    <x v="2"/>
    <x v="2"/>
    <s v="P105"/>
    <n v="1"/>
    <n v="900"/>
    <n v="0"/>
    <x v="4"/>
    <x v="0"/>
    <n v="600"/>
    <n v="900"/>
    <n v="600"/>
    <n v="300"/>
    <x v="4"/>
  </r>
  <r>
    <x v="8"/>
    <d v="2025-07-25T00:00:00"/>
    <s v="Customer 002"/>
    <x v="1"/>
    <x v="1"/>
    <s v="P105"/>
    <n v="7"/>
    <n v="900"/>
    <n v="0"/>
    <x v="4"/>
    <x v="0"/>
    <n v="600"/>
    <n v="6300"/>
    <n v="4200"/>
    <n v="2100"/>
    <x v="5"/>
  </r>
  <r>
    <x v="9"/>
    <d v="2025-04-20T00:00:00"/>
    <s v="Customer 046"/>
    <x v="2"/>
    <x v="4"/>
    <s v="P101"/>
    <n v="8"/>
    <n v="55000"/>
    <n v="0.05"/>
    <x v="5"/>
    <x v="1"/>
    <n v="41000"/>
    <n v="418000"/>
    <n v="328000"/>
    <n v="90000"/>
    <x v="6"/>
  </r>
  <r>
    <x v="10"/>
    <d v="2025-08-03T00:00:00"/>
    <s v="Customer 018"/>
    <x v="1"/>
    <x v="5"/>
    <s v="P104"/>
    <n v="13"/>
    <n v="8000"/>
    <n v="0.15"/>
    <x v="6"/>
    <x v="1"/>
    <n v="6200"/>
    <n v="88400"/>
    <n v="80600"/>
    <n v="7800"/>
    <x v="0"/>
  </r>
  <r>
    <x v="11"/>
    <d v="2025-02-14T00:00:00"/>
    <s v="Customer 049"/>
    <x v="3"/>
    <x v="6"/>
    <s v="P106"/>
    <n v="1"/>
    <n v="500"/>
    <n v="0.05"/>
    <x v="7"/>
    <x v="0"/>
    <n v="320"/>
    <n v="475"/>
    <n v="320"/>
    <n v="155"/>
    <x v="2"/>
  </r>
  <r>
    <x v="12"/>
    <d v="2025-03-10T00:00:00"/>
    <s v="Customer 030"/>
    <x v="2"/>
    <x v="4"/>
    <s v="P102"/>
    <n v="1"/>
    <n v="18000"/>
    <n v="0"/>
    <x v="3"/>
    <x v="1"/>
    <n v="13500"/>
    <n v="18000"/>
    <n v="13500"/>
    <n v="4500"/>
    <x v="7"/>
  </r>
  <r>
    <x v="13"/>
    <d v="2025-04-01T00:00:00"/>
    <s v="Customer 047"/>
    <x v="2"/>
    <x v="2"/>
    <s v="P108"/>
    <n v="9"/>
    <n v="1500"/>
    <n v="0"/>
    <x v="0"/>
    <x v="0"/>
    <n v="980"/>
    <n v="13500"/>
    <n v="8820"/>
    <n v="4680"/>
    <x v="6"/>
  </r>
  <r>
    <x v="14"/>
    <d v="2025-08-03T00:00:00"/>
    <s v="Customer 014"/>
    <x v="0"/>
    <x v="0"/>
    <s v="P102"/>
    <n v="7"/>
    <n v="18000"/>
    <n v="0.05"/>
    <x v="3"/>
    <x v="1"/>
    <n v="13500"/>
    <n v="119700"/>
    <n v="94500"/>
    <n v="25200"/>
    <x v="0"/>
  </r>
  <r>
    <x v="15"/>
    <d v="2025-05-19T00:00:00"/>
    <s v="Customer 026"/>
    <x v="3"/>
    <x v="6"/>
    <s v="P101"/>
    <n v="4"/>
    <n v="55000"/>
    <n v="0"/>
    <x v="5"/>
    <x v="1"/>
    <n v="41000"/>
    <n v="220000"/>
    <n v="164000"/>
    <n v="56000"/>
    <x v="8"/>
  </r>
  <r>
    <x v="16"/>
    <d v="2025-01-22T00:00:00"/>
    <s v="Customer 001"/>
    <x v="2"/>
    <x v="4"/>
    <s v="P104"/>
    <n v="8"/>
    <n v="8000"/>
    <n v="0"/>
    <x v="6"/>
    <x v="1"/>
    <n v="6200"/>
    <n v="64000"/>
    <n v="49600"/>
    <n v="14400"/>
    <x v="9"/>
  </r>
  <r>
    <x v="17"/>
    <d v="2025-06-01T00:00:00"/>
    <s v="Customer 014"/>
    <x v="0"/>
    <x v="0"/>
    <s v="P102"/>
    <n v="2"/>
    <n v="18000"/>
    <n v="0"/>
    <x v="3"/>
    <x v="1"/>
    <n v="13500"/>
    <n v="36000"/>
    <n v="27000"/>
    <n v="9000"/>
    <x v="4"/>
  </r>
  <r>
    <x v="18"/>
    <d v="2025-01-08T00:00:00"/>
    <s v="Customer 009"/>
    <x v="3"/>
    <x v="3"/>
    <s v="P106"/>
    <n v="10"/>
    <n v="500"/>
    <n v="0.05"/>
    <x v="7"/>
    <x v="0"/>
    <n v="320"/>
    <n v="4750"/>
    <n v="3200"/>
    <n v="1550"/>
    <x v="9"/>
  </r>
  <r>
    <x v="19"/>
    <d v="2025-10-22T00:00:00"/>
    <s v="Customer 010"/>
    <x v="2"/>
    <x v="4"/>
    <s v="P107"/>
    <n v="3"/>
    <n v="2000"/>
    <n v="0.15"/>
    <x v="2"/>
    <x v="0"/>
    <n v="1300"/>
    <n v="5100"/>
    <n v="3900"/>
    <n v="1200"/>
    <x v="10"/>
  </r>
  <r>
    <x v="20"/>
    <d v="2025-04-27T00:00:00"/>
    <s v="Customer 041"/>
    <x v="2"/>
    <x v="2"/>
    <s v="P104"/>
    <n v="3"/>
    <n v="8000"/>
    <n v="0.15"/>
    <x v="6"/>
    <x v="1"/>
    <n v="6200"/>
    <n v="20400"/>
    <n v="18600"/>
    <n v="1800"/>
    <x v="6"/>
  </r>
  <r>
    <x v="21"/>
    <d v="2025-12-18T00:00:00"/>
    <s v="Customer 027"/>
    <x v="0"/>
    <x v="0"/>
    <s v="P108"/>
    <n v="10"/>
    <n v="1500"/>
    <n v="0"/>
    <x v="0"/>
    <x v="0"/>
    <n v="980"/>
    <n v="15000"/>
    <n v="9800"/>
    <n v="5200"/>
    <x v="11"/>
  </r>
  <r>
    <x v="22"/>
    <d v="2025-02-23T00:00:00"/>
    <s v="Customer 016"/>
    <x v="1"/>
    <x v="5"/>
    <s v="P101"/>
    <n v="9"/>
    <n v="55000"/>
    <n v="0"/>
    <x v="5"/>
    <x v="1"/>
    <n v="41000"/>
    <n v="495000"/>
    <n v="369000"/>
    <n v="126000"/>
    <x v="2"/>
  </r>
  <r>
    <x v="23"/>
    <d v="2025-05-12T00:00:00"/>
    <s v="Customer 012"/>
    <x v="0"/>
    <x v="0"/>
    <s v="P108"/>
    <n v="5"/>
    <n v="1500"/>
    <n v="0.1"/>
    <x v="0"/>
    <x v="0"/>
    <n v="980"/>
    <n v="6750"/>
    <n v="4900"/>
    <n v="1850"/>
    <x v="8"/>
  </r>
  <r>
    <x v="24"/>
    <d v="2025-03-06T00:00:00"/>
    <s v="Customer 055"/>
    <x v="2"/>
    <x v="2"/>
    <s v="P108"/>
    <n v="9"/>
    <n v="1500"/>
    <n v="0.15"/>
    <x v="0"/>
    <x v="0"/>
    <n v="980"/>
    <n v="11475"/>
    <n v="8820"/>
    <n v="2655"/>
    <x v="7"/>
  </r>
  <r>
    <x v="25"/>
    <d v="2025-05-24T00:00:00"/>
    <s v="Customer 005"/>
    <x v="2"/>
    <x v="4"/>
    <s v="P104"/>
    <n v="12"/>
    <n v="8000"/>
    <n v="0"/>
    <x v="6"/>
    <x v="1"/>
    <n v="6200"/>
    <n v="96000"/>
    <n v="74400"/>
    <n v="21600"/>
    <x v="8"/>
  </r>
  <r>
    <x v="26"/>
    <d v="2025-07-30T00:00:00"/>
    <s v="Customer 012"/>
    <x v="0"/>
    <x v="7"/>
    <s v="P104"/>
    <n v="1"/>
    <n v="8000"/>
    <n v="0"/>
    <x v="6"/>
    <x v="1"/>
    <n v="6200"/>
    <n v="8000"/>
    <n v="6200"/>
    <n v="1800"/>
    <x v="5"/>
  </r>
  <r>
    <x v="27"/>
    <d v="2025-07-08T00:00:00"/>
    <s v="Customer 058"/>
    <x v="2"/>
    <x v="4"/>
    <s v="P102"/>
    <n v="6"/>
    <n v="18000"/>
    <n v="0"/>
    <x v="3"/>
    <x v="1"/>
    <n v="13500"/>
    <n v="108000"/>
    <n v="81000"/>
    <n v="27000"/>
    <x v="5"/>
  </r>
  <r>
    <x v="28"/>
    <d v="2025-06-19T00:00:00"/>
    <s v="Customer 031"/>
    <x v="2"/>
    <x v="4"/>
    <s v="P101"/>
    <n v="15"/>
    <n v="55000"/>
    <n v="0"/>
    <x v="5"/>
    <x v="1"/>
    <n v="41000"/>
    <n v="825000"/>
    <n v="615000"/>
    <n v="210000"/>
    <x v="4"/>
  </r>
  <r>
    <x v="29"/>
    <d v="2025-12-25T00:00:00"/>
    <s v="Customer 041"/>
    <x v="3"/>
    <x v="6"/>
    <s v="P101"/>
    <n v="1"/>
    <n v="55000"/>
    <n v="0.1"/>
    <x v="5"/>
    <x v="1"/>
    <n v="41000"/>
    <n v="49500"/>
    <n v="41000"/>
    <n v="8500"/>
    <x v="11"/>
  </r>
  <r>
    <x v="30"/>
    <d v="2025-09-04T00:00:00"/>
    <s v="Customer 005"/>
    <x v="1"/>
    <x v="1"/>
    <s v="P105"/>
    <n v="6"/>
    <n v="900"/>
    <n v="0"/>
    <x v="4"/>
    <x v="0"/>
    <n v="600"/>
    <n v="5400"/>
    <n v="3600"/>
    <n v="1800"/>
    <x v="1"/>
  </r>
  <r>
    <x v="31"/>
    <d v="2025-08-20T00:00:00"/>
    <s v="Customer 048"/>
    <x v="3"/>
    <x v="6"/>
    <s v="P101"/>
    <n v="15"/>
    <n v="55000"/>
    <n v="0.15"/>
    <x v="5"/>
    <x v="1"/>
    <n v="41000"/>
    <n v="701250"/>
    <n v="615000"/>
    <n v="86250"/>
    <x v="0"/>
  </r>
  <r>
    <x v="32"/>
    <d v="2025-06-24T00:00:00"/>
    <s v="Customer 058"/>
    <x v="3"/>
    <x v="6"/>
    <s v="P102"/>
    <n v="11"/>
    <n v="18000"/>
    <n v="0.05"/>
    <x v="3"/>
    <x v="1"/>
    <n v="13500"/>
    <n v="188100"/>
    <n v="148500"/>
    <n v="39600"/>
    <x v="4"/>
  </r>
  <r>
    <x v="33"/>
    <d v="2025-08-02T00:00:00"/>
    <s v="Customer 040"/>
    <x v="1"/>
    <x v="5"/>
    <s v="P108"/>
    <n v="10"/>
    <n v="1500"/>
    <n v="0"/>
    <x v="0"/>
    <x v="0"/>
    <n v="980"/>
    <n v="15000"/>
    <n v="9800"/>
    <n v="5200"/>
    <x v="0"/>
  </r>
  <r>
    <x v="34"/>
    <d v="2025-07-14T00:00:00"/>
    <s v="Customer 041"/>
    <x v="1"/>
    <x v="1"/>
    <s v="P102"/>
    <n v="2"/>
    <n v="18000"/>
    <n v="0"/>
    <x v="3"/>
    <x v="1"/>
    <n v="13500"/>
    <n v="36000"/>
    <n v="27000"/>
    <n v="9000"/>
    <x v="5"/>
  </r>
  <r>
    <x v="35"/>
    <d v="2025-05-12T00:00:00"/>
    <s v="Customer 045"/>
    <x v="0"/>
    <x v="7"/>
    <s v="P106"/>
    <n v="7"/>
    <n v="500"/>
    <n v="0.15"/>
    <x v="7"/>
    <x v="0"/>
    <n v="320"/>
    <n v="2975"/>
    <n v="2240"/>
    <n v="735"/>
    <x v="8"/>
  </r>
  <r>
    <x v="36"/>
    <d v="2025-08-14T00:00:00"/>
    <s v="Customer 002"/>
    <x v="0"/>
    <x v="7"/>
    <s v="P102"/>
    <n v="9"/>
    <n v="18000"/>
    <n v="0.1"/>
    <x v="3"/>
    <x v="1"/>
    <n v="13500"/>
    <n v="145800"/>
    <n v="121500"/>
    <n v="24300"/>
    <x v="0"/>
  </r>
  <r>
    <x v="37"/>
    <d v="2025-11-04T00:00:00"/>
    <s v="Customer 045"/>
    <x v="1"/>
    <x v="1"/>
    <s v="P108"/>
    <n v="1"/>
    <n v="1500"/>
    <n v="0"/>
    <x v="0"/>
    <x v="0"/>
    <n v="980"/>
    <n v="1500"/>
    <n v="980"/>
    <n v="520"/>
    <x v="3"/>
  </r>
  <r>
    <x v="38"/>
    <d v="2025-09-12T00:00:00"/>
    <s v="Customer 024"/>
    <x v="0"/>
    <x v="7"/>
    <s v="P105"/>
    <n v="15"/>
    <n v="900"/>
    <n v="0"/>
    <x v="4"/>
    <x v="0"/>
    <n v="600"/>
    <n v="13500"/>
    <n v="9000"/>
    <n v="4500"/>
    <x v="1"/>
  </r>
  <r>
    <x v="39"/>
    <d v="2025-03-15T00:00:00"/>
    <s v="Unknown"/>
    <x v="2"/>
    <x v="4"/>
    <s v="P103"/>
    <n v="13"/>
    <n v="12000"/>
    <n v="0"/>
    <x v="1"/>
    <x v="1"/>
    <n v="9000"/>
    <n v="156000"/>
    <n v="117000"/>
    <n v="39000"/>
    <x v="7"/>
  </r>
  <r>
    <x v="40"/>
    <d v="2025-09-13T00:00:00"/>
    <s v="Customer 017"/>
    <x v="2"/>
    <x v="2"/>
    <s v="P106"/>
    <n v="7"/>
    <n v="500"/>
    <n v="0.15"/>
    <x v="7"/>
    <x v="0"/>
    <n v="320"/>
    <n v="2975"/>
    <n v="2240"/>
    <n v="735"/>
    <x v="1"/>
  </r>
  <r>
    <x v="41"/>
    <d v="2025-11-21T00:00:00"/>
    <s v="Customer 025"/>
    <x v="0"/>
    <x v="0"/>
    <s v="P104"/>
    <n v="15"/>
    <n v="8000"/>
    <n v="0"/>
    <x v="6"/>
    <x v="1"/>
    <n v="6200"/>
    <n v="120000"/>
    <n v="93000"/>
    <n v="27000"/>
    <x v="3"/>
  </r>
  <r>
    <x v="42"/>
    <d v="2025-10-26T00:00:00"/>
    <s v="Customer 032"/>
    <x v="3"/>
    <x v="3"/>
    <s v="P104"/>
    <n v="3"/>
    <n v="8000"/>
    <n v="0"/>
    <x v="6"/>
    <x v="1"/>
    <n v="6200"/>
    <n v="24000"/>
    <n v="18600"/>
    <n v="5400"/>
    <x v="10"/>
  </r>
  <r>
    <x v="43"/>
    <d v="2025-01-21T00:00:00"/>
    <s v="Customer 008"/>
    <x v="1"/>
    <x v="5"/>
    <s v="P105"/>
    <n v="14"/>
    <n v="900"/>
    <n v="0"/>
    <x v="4"/>
    <x v="0"/>
    <n v="600"/>
    <n v="12600"/>
    <n v="8400"/>
    <n v="4200"/>
    <x v="9"/>
  </r>
  <r>
    <x v="44"/>
    <d v="2025-08-30T00:00:00"/>
    <s v="Customer 025"/>
    <x v="3"/>
    <x v="3"/>
    <s v="P104"/>
    <n v="14"/>
    <n v="8000"/>
    <n v="0.05"/>
    <x v="6"/>
    <x v="1"/>
    <n v="6200"/>
    <n v="106400"/>
    <n v="86800"/>
    <n v="19600"/>
    <x v="0"/>
  </r>
  <r>
    <x v="45"/>
    <d v="2025-12-11T00:00:00"/>
    <s v="Customer 054"/>
    <x v="3"/>
    <x v="6"/>
    <s v="P108"/>
    <n v="6"/>
    <n v="1500"/>
    <n v="0"/>
    <x v="0"/>
    <x v="0"/>
    <n v="980"/>
    <n v="9000"/>
    <n v="5880"/>
    <n v="3120"/>
    <x v="11"/>
  </r>
  <r>
    <x v="46"/>
    <d v="2025-05-23T00:00:00"/>
    <s v="Customer 020"/>
    <x v="1"/>
    <x v="1"/>
    <s v="P105"/>
    <n v="10"/>
    <n v="900"/>
    <n v="0"/>
    <x v="4"/>
    <x v="0"/>
    <n v="600"/>
    <n v="9000"/>
    <n v="6000"/>
    <n v="3000"/>
    <x v="8"/>
  </r>
  <r>
    <x v="47"/>
    <d v="2025-11-25T00:00:00"/>
    <s v="Customer 002"/>
    <x v="2"/>
    <x v="4"/>
    <s v="P107"/>
    <n v="8"/>
    <n v="2000"/>
    <n v="0"/>
    <x v="2"/>
    <x v="0"/>
    <n v="1300"/>
    <n v="16000"/>
    <n v="10400"/>
    <n v="5600"/>
    <x v="3"/>
  </r>
  <r>
    <x v="48"/>
    <d v="2025-05-02T00:00:00"/>
    <s v="Customer 029"/>
    <x v="2"/>
    <x v="2"/>
    <s v="P101"/>
    <n v="11"/>
    <n v="55000"/>
    <n v="0"/>
    <x v="5"/>
    <x v="1"/>
    <n v="41000"/>
    <n v="605000"/>
    <n v="451000"/>
    <n v="154000"/>
    <x v="8"/>
  </r>
  <r>
    <x v="49"/>
    <d v="2025-11-19T00:00:00"/>
    <s v="Customer 013"/>
    <x v="3"/>
    <x v="3"/>
    <s v="P102"/>
    <n v="11"/>
    <n v="18000"/>
    <n v="0"/>
    <x v="3"/>
    <x v="1"/>
    <n v="13500"/>
    <n v="198000"/>
    <n v="148500"/>
    <n v="49500"/>
    <x v="3"/>
  </r>
  <r>
    <x v="50"/>
    <d v="2025-05-12T00:00:00"/>
    <s v="Customer 035"/>
    <x v="2"/>
    <x v="2"/>
    <s v="P101"/>
    <n v="13"/>
    <n v="55000"/>
    <n v="0.05"/>
    <x v="5"/>
    <x v="1"/>
    <n v="41000"/>
    <n v="679250"/>
    <n v="533000"/>
    <n v="146250"/>
    <x v="8"/>
  </r>
  <r>
    <x v="51"/>
    <d v="2025-04-02T00:00:00"/>
    <s v="Customer 035"/>
    <x v="2"/>
    <x v="2"/>
    <s v="P105"/>
    <n v="13"/>
    <n v="900"/>
    <n v="0"/>
    <x v="4"/>
    <x v="0"/>
    <n v="600"/>
    <n v="11700"/>
    <n v="7800"/>
    <n v="3900"/>
    <x v="6"/>
  </r>
  <r>
    <x v="52"/>
    <d v="2025-07-21T00:00:00"/>
    <s v="Customer 025"/>
    <x v="2"/>
    <x v="2"/>
    <s v="P102"/>
    <n v="7"/>
    <n v="18000"/>
    <n v="0.15"/>
    <x v="3"/>
    <x v="1"/>
    <n v="13500"/>
    <n v="107100"/>
    <n v="94500"/>
    <n v="12600"/>
    <x v="5"/>
  </r>
  <r>
    <x v="53"/>
    <d v="2025-08-19T00:00:00"/>
    <s v="Customer 025"/>
    <x v="0"/>
    <x v="7"/>
    <s v="P104"/>
    <n v="11"/>
    <n v="8000"/>
    <n v="0"/>
    <x v="6"/>
    <x v="1"/>
    <n v="6200"/>
    <n v="88000"/>
    <n v="68200"/>
    <n v="19800"/>
    <x v="0"/>
  </r>
  <r>
    <x v="54"/>
    <d v="2025-08-26T00:00:00"/>
    <s v="Customer 056"/>
    <x v="3"/>
    <x v="6"/>
    <s v="P104"/>
    <n v="2"/>
    <n v="8000"/>
    <n v="0.15"/>
    <x v="6"/>
    <x v="1"/>
    <n v="6200"/>
    <n v="13600"/>
    <n v="12400"/>
    <n v="1200"/>
    <x v="0"/>
  </r>
  <r>
    <x v="55"/>
    <d v="2025-04-20T00:00:00"/>
    <s v="Customer 035"/>
    <x v="2"/>
    <x v="4"/>
    <s v="P107"/>
    <n v="2"/>
    <n v="2000"/>
    <n v="0"/>
    <x v="2"/>
    <x v="0"/>
    <n v="1300"/>
    <n v="4000"/>
    <n v="2600"/>
    <n v="1400"/>
    <x v="6"/>
  </r>
  <r>
    <x v="56"/>
    <d v="2025-05-15T00:00:00"/>
    <s v="Customer 003"/>
    <x v="1"/>
    <x v="5"/>
    <s v="P106"/>
    <n v="9"/>
    <n v="500"/>
    <n v="0"/>
    <x v="7"/>
    <x v="0"/>
    <n v="320"/>
    <n v="4500"/>
    <n v="2880"/>
    <n v="1620"/>
    <x v="8"/>
  </r>
  <r>
    <x v="57"/>
    <d v="2025-06-25T00:00:00"/>
    <s v="Customer 014"/>
    <x v="0"/>
    <x v="0"/>
    <s v="P105"/>
    <n v="8"/>
    <n v="900"/>
    <n v="0"/>
    <x v="4"/>
    <x v="0"/>
    <n v="600"/>
    <n v="7200"/>
    <n v="4800"/>
    <n v="2400"/>
    <x v="4"/>
  </r>
  <r>
    <x v="58"/>
    <d v="2025-08-08T00:00:00"/>
    <s v="Customer 044"/>
    <x v="1"/>
    <x v="1"/>
    <s v="P103"/>
    <n v="9"/>
    <n v="12000"/>
    <n v="0"/>
    <x v="1"/>
    <x v="1"/>
    <n v="9000"/>
    <n v="108000"/>
    <n v="81000"/>
    <n v="27000"/>
    <x v="0"/>
  </r>
  <r>
    <x v="59"/>
    <d v="2025-08-29T00:00:00"/>
    <s v="Customer 038"/>
    <x v="2"/>
    <x v="2"/>
    <s v="P108"/>
    <n v="15"/>
    <n v="1500"/>
    <n v="0.05"/>
    <x v="0"/>
    <x v="0"/>
    <n v="980"/>
    <n v="21375"/>
    <n v="14700"/>
    <n v="6675"/>
    <x v="0"/>
  </r>
  <r>
    <x v="60"/>
    <d v="2025-04-24T00:00:00"/>
    <s v="Customer 036"/>
    <x v="0"/>
    <x v="0"/>
    <s v="P105"/>
    <n v="14"/>
    <n v="900"/>
    <n v="0.15"/>
    <x v="4"/>
    <x v="0"/>
    <n v="600"/>
    <n v="10710"/>
    <n v="8400"/>
    <n v="2310"/>
    <x v="6"/>
  </r>
  <r>
    <x v="61"/>
    <d v="2025-09-25T00:00:00"/>
    <s v="Customer 055"/>
    <x v="3"/>
    <x v="6"/>
    <s v="P105"/>
    <n v="11"/>
    <n v="900"/>
    <n v="0.05"/>
    <x v="4"/>
    <x v="0"/>
    <n v="600"/>
    <n v="9405"/>
    <n v="6600"/>
    <n v="2805"/>
    <x v="1"/>
  </r>
  <r>
    <x v="62"/>
    <d v="2025-06-05T00:00:00"/>
    <s v="Customer 013"/>
    <x v="2"/>
    <x v="4"/>
    <s v="P105"/>
    <n v="10"/>
    <n v="900"/>
    <n v="0.05"/>
    <x v="4"/>
    <x v="0"/>
    <n v="600"/>
    <n v="8550"/>
    <n v="6000"/>
    <n v="2550"/>
    <x v="4"/>
  </r>
  <r>
    <x v="63"/>
    <d v="2025-10-02T00:00:00"/>
    <s v="Customer 002"/>
    <x v="1"/>
    <x v="1"/>
    <s v="P101"/>
    <n v="10"/>
    <n v="55000"/>
    <n v="0.05"/>
    <x v="5"/>
    <x v="1"/>
    <n v="41000"/>
    <n v="522500"/>
    <n v="410000"/>
    <n v="112500"/>
    <x v="10"/>
  </r>
  <r>
    <x v="64"/>
    <d v="2025-09-22T00:00:00"/>
    <s v="Customer 045"/>
    <x v="0"/>
    <x v="0"/>
    <s v="P102"/>
    <n v="8"/>
    <n v="18000"/>
    <n v="0"/>
    <x v="3"/>
    <x v="1"/>
    <n v="13500"/>
    <n v="144000"/>
    <n v="108000"/>
    <n v="36000"/>
    <x v="1"/>
  </r>
  <r>
    <x v="65"/>
    <d v="2025-02-03T00:00:00"/>
    <s v="Customer 018"/>
    <x v="0"/>
    <x v="0"/>
    <s v="P107"/>
    <n v="15"/>
    <n v="2000"/>
    <n v="0.05"/>
    <x v="2"/>
    <x v="0"/>
    <n v="1300"/>
    <n v="28500"/>
    <n v="19500"/>
    <n v="9000"/>
    <x v="2"/>
  </r>
  <r>
    <x v="66"/>
    <d v="2025-08-31T00:00:00"/>
    <s v="Customer 058"/>
    <x v="0"/>
    <x v="7"/>
    <s v="P103"/>
    <n v="6"/>
    <n v="12000"/>
    <n v="0.05"/>
    <x v="1"/>
    <x v="1"/>
    <n v="9000"/>
    <n v="68400"/>
    <n v="54000"/>
    <n v="14400"/>
    <x v="0"/>
  </r>
  <r>
    <x v="67"/>
    <d v="2025-09-26T00:00:00"/>
    <s v="Customer 040"/>
    <x v="3"/>
    <x v="6"/>
    <s v="P102"/>
    <n v="4"/>
    <n v="18000"/>
    <n v="0.05"/>
    <x v="3"/>
    <x v="1"/>
    <n v="13500"/>
    <n v="68400"/>
    <n v="54000"/>
    <n v="14400"/>
    <x v="1"/>
  </r>
  <r>
    <x v="68"/>
    <d v="2025-05-14T00:00:00"/>
    <s v="Customer 010"/>
    <x v="2"/>
    <x v="2"/>
    <s v="P101"/>
    <n v="1"/>
    <n v="55000"/>
    <n v="0"/>
    <x v="5"/>
    <x v="1"/>
    <n v="41000"/>
    <n v="55000"/>
    <n v="41000"/>
    <n v="14000"/>
    <x v="8"/>
  </r>
  <r>
    <x v="69"/>
    <d v="2025-01-07T00:00:00"/>
    <s v="Customer 016"/>
    <x v="3"/>
    <x v="3"/>
    <s v="P106"/>
    <n v="12"/>
    <n v="500"/>
    <n v="0"/>
    <x v="7"/>
    <x v="0"/>
    <n v="320"/>
    <n v="6000"/>
    <n v="3840"/>
    <n v="2160"/>
    <x v="9"/>
  </r>
  <r>
    <x v="70"/>
    <d v="2025-02-23T00:00:00"/>
    <s v="Customer 040"/>
    <x v="0"/>
    <x v="7"/>
    <s v="P102"/>
    <n v="14"/>
    <n v="18000"/>
    <n v="0.1"/>
    <x v="3"/>
    <x v="1"/>
    <n v="13500"/>
    <n v="226800"/>
    <n v="189000"/>
    <n v="37800"/>
    <x v="2"/>
  </r>
  <r>
    <x v="71"/>
    <d v="2025-04-12T00:00:00"/>
    <s v="Customer 027"/>
    <x v="0"/>
    <x v="0"/>
    <s v="P101"/>
    <n v="7"/>
    <n v="55000"/>
    <n v="0.15"/>
    <x v="5"/>
    <x v="1"/>
    <n v="41000"/>
    <n v="327250"/>
    <n v="287000"/>
    <n v="40250"/>
    <x v="6"/>
  </r>
  <r>
    <x v="72"/>
    <d v="2025-10-03T00:00:00"/>
    <s v="Customer 055"/>
    <x v="2"/>
    <x v="2"/>
    <s v="P104"/>
    <n v="9"/>
    <n v="8000"/>
    <n v="0"/>
    <x v="6"/>
    <x v="1"/>
    <n v="6200"/>
    <n v="72000"/>
    <n v="55800"/>
    <n v="16200"/>
    <x v="10"/>
  </r>
  <r>
    <x v="73"/>
    <d v="2025-04-30T00:00:00"/>
    <s v="Customer 021"/>
    <x v="3"/>
    <x v="6"/>
    <s v="P103"/>
    <n v="6"/>
    <n v="12000"/>
    <n v="0.1"/>
    <x v="1"/>
    <x v="1"/>
    <n v="9000"/>
    <n v="64800"/>
    <n v="54000"/>
    <n v="10800"/>
    <x v="6"/>
  </r>
  <r>
    <x v="74"/>
    <d v="2025-04-22T00:00:00"/>
    <s v="Customer 009"/>
    <x v="2"/>
    <x v="2"/>
    <s v="P102"/>
    <n v="3"/>
    <n v="18000"/>
    <n v="0"/>
    <x v="3"/>
    <x v="1"/>
    <n v="13500"/>
    <n v="54000"/>
    <n v="40500"/>
    <n v="13500"/>
    <x v="6"/>
  </r>
  <r>
    <x v="75"/>
    <d v="2025-05-13T00:00:00"/>
    <s v="Customer 035"/>
    <x v="0"/>
    <x v="0"/>
    <s v="P102"/>
    <n v="7"/>
    <n v="18000"/>
    <n v="0.05"/>
    <x v="3"/>
    <x v="1"/>
    <n v="13500"/>
    <n v="119700"/>
    <n v="94500"/>
    <n v="25200"/>
    <x v="8"/>
  </r>
  <r>
    <x v="76"/>
    <d v="2025-04-13T00:00:00"/>
    <s v="Customer 037"/>
    <x v="0"/>
    <x v="7"/>
    <s v="P101"/>
    <n v="2"/>
    <n v="55000"/>
    <n v="0"/>
    <x v="5"/>
    <x v="1"/>
    <n v="41000"/>
    <n v="110000"/>
    <n v="82000"/>
    <n v="28000"/>
    <x v="6"/>
  </r>
  <r>
    <x v="77"/>
    <d v="2025-07-04T00:00:00"/>
    <s v="Customer 054"/>
    <x v="1"/>
    <x v="1"/>
    <s v="P106"/>
    <n v="9"/>
    <n v="500"/>
    <n v="0.15"/>
    <x v="7"/>
    <x v="0"/>
    <n v="320"/>
    <n v="3825"/>
    <n v="2880"/>
    <n v="945"/>
    <x v="5"/>
  </r>
  <r>
    <x v="78"/>
    <d v="2025-02-06T00:00:00"/>
    <s v="Customer 049"/>
    <x v="0"/>
    <x v="7"/>
    <s v="P102"/>
    <n v="1"/>
    <n v="18000"/>
    <n v="0"/>
    <x v="3"/>
    <x v="1"/>
    <n v="13500"/>
    <n v="18000"/>
    <n v="13500"/>
    <n v="4500"/>
    <x v="2"/>
  </r>
  <r>
    <x v="79"/>
    <d v="2025-03-17T00:00:00"/>
    <s v="Customer 012"/>
    <x v="2"/>
    <x v="2"/>
    <s v="P103"/>
    <n v="2"/>
    <n v="12000"/>
    <n v="0"/>
    <x v="1"/>
    <x v="1"/>
    <n v="9000"/>
    <n v="24000"/>
    <n v="18000"/>
    <n v="6000"/>
    <x v="7"/>
  </r>
  <r>
    <x v="80"/>
    <d v="2025-05-25T00:00:00"/>
    <s v="Customer 030"/>
    <x v="1"/>
    <x v="1"/>
    <s v="P101"/>
    <n v="3"/>
    <n v="55000"/>
    <n v="0.15"/>
    <x v="5"/>
    <x v="1"/>
    <n v="41000"/>
    <n v="140250"/>
    <n v="123000"/>
    <n v="17250"/>
    <x v="8"/>
  </r>
  <r>
    <x v="81"/>
    <d v="2025-02-19T00:00:00"/>
    <s v="Customer 033"/>
    <x v="3"/>
    <x v="3"/>
    <s v="P107"/>
    <n v="8"/>
    <n v="2000"/>
    <n v="0.05"/>
    <x v="2"/>
    <x v="0"/>
    <n v="1300"/>
    <n v="15200"/>
    <n v="10400"/>
    <n v="4800"/>
    <x v="2"/>
  </r>
  <r>
    <x v="82"/>
    <d v="2025-08-09T00:00:00"/>
    <s v="Customer 045"/>
    <x v="2"/>
    <x v="2"/>
    <s v="P106"/>
    <n v="1"/>
    <n v="500"/>
    <n v="0.15"/>
    <x v="7"/>
    <x v="0"/>
    <n v="320"/>
    <n v="425"/>
    <n v="320"/>
    <n v="105"/>
    <x v="0"/>
  </r>
  <r>
    <x v="83"/>
    <d v="2025-04-13T00:00:00"/>
    <s v="Customer 048"/>
    <x v="2"/>
    <x v="4"/>
    <s v="P107"/>
    <n v="8"/>
    <n v="2000"/>
    <n v="0"/>
    <x v="2"/>
    <x v="0"/>
    <n v="1300"/>
    <n v="16000"/>
    <n v="10400"/>
    <n v="5600"/>
    <x v="6"/>
  </r>
  <r>
    <x v="84"/>
    <d v="2025-07-27T00:00:00"/>
    <s v="Customer 051"/>
    <x v="2"/>
    <x v="2"/>
    <s v="P103"/>
    <n v="2"/>
    <n v="12000"/>
    <n v="0.1"/>
    <x v="1"/>
    <x v="1"/>
    <n v="9000"/>
    <n v="21600"/>
    <n v="18000"/>
    <n v="3600"/>
    <x v="5"/>
  </r>
  <r>
    <x v="85"/>
    <d v="2025-06-15T00:00:00"/>
    <s v="Customer 013"/>
    <x v="1"/>
    <x v="5"/>
    <s v="P107"/>
    <n v="10"/>
    <n v="2000"/>
    <n v="0.1"/>
    <x v="2"/>
    <x v="0"/>
    <n v="1300"/>
    <n v="18000"/>
    <n v="13000"/>
    <n v="5000"/>
    <x v="4"/>
  </r>
  <r>
    <x v="86"/>
    <d v="2025-05-13T00:00:00"/>
    <s v="Customer 050"/>
    <x v="3"/>
    <x v="6"/>
    <s v="P102"/>
    <n v="12"/>
    <n v="18000"/>
    <n v="0.15"/>
    <x v="3"/>
    <x v="1"/>
    <n v="13500"/>
    <n v="183600"/>
    <n v="162000"/>
    <n v="21600"/>
    <x v="8"/>
  </r>
  <r>
    <x v="87"/>
    <d v="2025-07-27T00:00:00"/>
    <s v="Customer 045"/>
    <x v="2"/>
    <x v="4"/>
    <s v="P106"/>
    <n v="15"/>
    <n v="500"/>
    <n v="0.1"/>
    <x v="7"/>
    <x v="0"/>
    <n v="320"/>
    <n v="6750"/>
    <n v="4800"/>
    <n v="1950"/>
    <x v="5"/>
  </r>
  <r>
    <x v="88"/>
    <d v="2025-08-10T00:00:00"/>
    <s v="Customer 012"/>
    <x v="2"/>
    <x v="2"/>
    <s v="P107"/>
    <n v="4"/>
    <n v="2000"/>
    <n v="0.15"/>
    <x v="2"/>
    <x v="0"/>
    <n v="1300"/>
    <n v="6800"/>
    <n v="5200"/>
    <n v="1600"/>
    <x v="0"/>
  </r>
  <r>
    <x v="89"/>
    <d v="2025-06-24T00:00:00"/>
    <s v="Customer 057"/>
    <x v="3"/>
    <x v="3"/>
    <s v="P108"/>
    <n v="2"/>
    <n v="1500"/>
    <n v="0"/>
    <x v="0"/>
    <x v="0"/>
    <n v="980"/>
    <n v="3000"/>
    <n v="1960"/>
    <n v="1040"/>
    <x v="4"/>
  </r>
  <r>
    <x v="90"/>
    <d v="2025-11-24T00:00:00"/>
    <s v="Customer 020"/>
    <x v="1"/>
    <x v="5"/>
    <s v="P104"/>
    <n v="5"/>
    <n v="8000"/>
    <n v="0.15"/>
    <x v="6"/>
    <x v="1"/>
    <n v="6200"/>
    <n v="34000"/>
    <n v="31000"/>
    <n v="3000"/>
    <x v="3"/>
  </r>
  <r>
    <x v="91"/>
    <d v="2025-04-21T00:00:00"/>
    <s v="Customer 025"/>
    <x v="0"/>
    <x v="7"/>
    <s v="P103"/>
    <n v="9"/>
    <n v="12000"/>
    <n v="0"/>
    <x v="1"/>
    <x v="1"/>
    <n v="9000"/>
    <n v="108000"/>
    <n v="81000"/>
    <n v="27000"/>
    <x v="6"/>
  </r>
  <r>
    <x v="92"/>
    <d v="2025-11-25T00:00:00"/>
    <s v="Customer 037"/>
    <x v="2"/>
    <x v="2"/>
    <s v="P102"/>
    <n v="13"/>
    <n v="18000"/>
    <n v="0.05"/>
    <x v="3"/>
    <x v="1"/>
    <n v="13500"/>
    <n v="222300"/>
    <n v="175500"/>
    <n v="46800"/>
    <x v="3"/>
  </r>
  <r>
    <x v="93"/>
    <d v="2025-02-28T00:00:00"/>
    <s v="Customer 026"/>
    <x v="1"/>
    <x v="1"/>
    <s v="P104"/>
    <n v="5"/>
    <n v="8000"/>
    <n v="0.05"/>
    <x v="6"/>
    <x v="1"/>
    <n v="6200"/>
    <n v="38000"/>
    <n v="31000"/>
    <n v="7000"/>
    <x v="2"/>
  </r>
  <r>
    <x v="94"/>
    <d v="2025-04-11T00:00:00"/>
    <s v="Customer 017"/>
    <x v="0"/>
    <x v="7"/>
    <s v="P101"/>
    <n v="2"/>
    <n v="55000"/>
    <n v="0"/>
    <x v="5"/>
    <x v="1"/>
    <n v="41000"/>
    <n v="110000"/>
    <n v="82000"/>
    <n v="28000"/>
    <x v="6"/>
  </r>
  <r>
    <x v="95"/>
    <d v="2025-06-24T00:00:00"/>
    <s v="Customer 052"/>
    <x v="0"/>
    <x v="0"/>
    <s v="P102"/>
    <n v="11"/>
    <n v="18000"/>
    <n v="0.05"/>
    <x v="3"/>
    <x v="1"/>
    <n v="13500"/>
    <n v="188100"/>
    <n v="148500"/>
    <n v="39600"/>
    <x v="4"/>
  </r>
  <r>
    <x v="96"/>
    <d v="2025-10-09T00:00:00"/>
    <s v="Customer 025"/>
    <x v="1"/>
    <x v="5"/>
    <s v="P107"/>
    <n v="15"/>
    <n v="2000"/>
    <n v="0"/>
    <x v="2"/>
    <x v="0"/>
    <n v="1300"/>
    <n v="30000"/>
    <n v="19500"/>
    <n v="10500"/>
    <x v="10"/>
  </r>
  <r>
    <x v="97"/>
    <d v="2025-03-28T00:00:00"/>
    <s v="Customer 027"/>
    <x v="0"/>
    <x v="7"/>
    <s v="P101"/>
    <n v="7"/>
    <n v="55000"/>
    <n v="0.05"/>
    <x v="5"/>
    <x v="1"/>
    <n v="41000"/>
    <n v="365750"/>
    <n v="287000"/>
    <n v="78750"/>
    <x v="7"/>
  </r>
  <r>
    <x v="98"/>
    <d v="2025-09-27T00:00:00"/>
    <s v="Customer 019"/>
    <x v="0"/>
    <x v="7"/>
    <s v="P105"/>
    <n v="6"/>
    <n v="900"/>
    <n v="0.1"/>
    <x v="4"/>
    <x v="0"/>
    <n v="600"/>
    <n v="4860"/>
    <n v="3600"/>
    <n v="1260"/>
    <x v="1"/>
  </r>
  <r>
    <x v="99"/>
    <d v="2025-12-02T00:00:00"/>
    <s v="Customer 048"/>
    <x v="3"/>
    <x v="3"/>
    <s v="P105"/>
    <n v="11"/>
    <n v="900"/>
    <n v="0.15"/>
    <x v="4"/>
    <x v="0"/>
    <n v="600"/>
    <n v="8415"/>
    <n v="6600"/>
    <n v="1815"/>
    <x v="11"/>
  </r>
  <r>
    <x v="100"/>
    <d v="2025-01-14T00:00:00"/>
    <s v="Customer 041"/>
    <x v="1"/>
    <x v="1"/>
    <s v="P104"/>
    <n v="10"/>
    <n v="8000"/>
    <n v="0"/>
    <x v="6"/>
    <x v="1"/>
    <n v="6200"/>
    <n v="80000"/>
    <n v="62000"/>
    <n v="18000"/>
    <x v="9"/>
  </r>
  <r>
    <x v="101"/>
    <d v="2025-07-29T00:00:00"/>
    <s v="Customer 048"/>
    <x v="0"/>
    <x v="7"/>
    <s v="P101"/>
    <n v="15"/>
    <n v="55000"/>
    <n v="0"/>
    <x v="5"/>
    <x v="1"/>
    <n v="41000"/>
    <n v="825000"/>
    <n v="615000"/>
    <n v="210000"/>
    <x v="5"/>
  </r>
  <r>
    <x v="102"/>
    <d v="2025-05-09T00:00:00"/>
    <s v="Customer 060"/>
    <x v="2"/>
    <x v="4"/>
    <s v="P101"/>
    <n v="9"/>
    <n v="55000"/>
    <n v="0"/>
    <x v="5"/>
    <x v="1"/>
    <n v="41000"/>
    <n v="495000"/>
    <n v="369000"/>
    <n v="126000"/>
    <x v="8"/>
  </r>
  <r>
    <x v="103"/>
    <d v="2025-03-15T00:00:00"/>
    <s v="Customer 027"/>
    <x v="2"/>
    <x v="4"/>
    <s v="P102"/>
    <n v="1"/>
    <n v="18000"/>
    <n v="0.1"/>
    <x v="3"/>
    <x v="1"/>
    <n v="13500"/>
    <n v="16200"/>
    <n v="13500"/>
    <n v="2700"/>
    <x v="7"/>
  </r>
  <r>
    <x v="104"/>
    <d v="2025-03-02T00:00:00"/>
    <s v="Customer 010"/>
    <x v="2"/>
    <x v="2"/>
    <s v="P101"/>
    <n v="6"/>
    <n v="55000"/>
    <n v="0.1"/>
    <x v="5"/>
    <x v="1"/>
    <n v="41000"/>
    <n v="297000"/>
    <n v="246000"/>
    <n v="51000"/>
    <x v="7"/>
  </r>
  <r>
    <x v="105"/>
    <d v="2025-07-06T00:00:00"/>
    <s v="Customer 030"/>
    <x v="0"/>
    <x v="7"/>
    <s v="P103"/>
    <n v="11"/>
    <n v="12000"/>
    <n v="0.05"/>
    <x v="1"/>
    <x v="1"/>
    <n v="9000"/>
    <n v="125400"/>
    <n v="99000"/>
    <n v="26400"/>
    <x v="5"/>
  </r>
  <r>
    <x v="106"/>
    <d v="2025-11-24T00:00:00"/>
    <s v="Customer 034"/>
    <x v="0"/>
    <x v="0"/>
    <s v="P106"/>
    <n v="13"/>
    <n v="500"/>
    <n v="0.15"/>
    <x v="7"/>
    <x v="0"/>
    <n v="320"/>
    <n v="5525"/>
    <n v="4160"/>
    <n v="1365"/>
    <x v="3"/>
  </r>
  <r>
    <x v="107"/>
    <d v="2025-05-29T00:00:00"/>
    <s v="Customer 033"/>
    <x v="2"/>
    <x v="4"/>
    <s v="P104"/>
    <n v="8"/>
    <n v="8000"/>
    <n v="0"/>
    <x v="6"/>
    <x v="1"/>
    <n v="6200"/>
    <n v="64000"/>
    <n v="49600"/>
    <n v="14400"/>
    <x v="8"/>
  </r>
  <r>
    <x v="108"/>
    <d v="2025-09-17T00:00:00"/>
    <s v="Customer 044"/>
    <x v="3"/>
    <x v="6"/>
    <s v="P105"/>
    <n v="5"/>
    <n v="900"/>
    <n v="0.1"/>
    <x v="4"/>
    <x v="0"/>
    <n v="600"/>
    <n v="4050"/>
    <n v="3000"/>
    <n v="1050"/>
    <x v="1"/>
  </r>
  <r>
    <x v="109"/>
    <d v="2025-11-21T00:00:00"/>
    <s v="Customer 033"/>
    <x v="3"/>
    <x v="6"/>
    <s v="P104"/>
    <n v="4"/>
    <n v="8000"/>
    <n v="0"/>
    <x v="6"/>
    <x v="1"/>
    <n v="6200"/>
    <n v="32000"/>
    <n v="24800"/>
    <n v="7200"/>
    <x v="3"/>
  </r>
  <r>
    <x v="110"/>
    <d v="2025-12-16T00:00:00"/>
    <s v="Customer 017"/>
    <x v="1"/>
    <x v="5"/>
    <s v="P101"/>
    <n v="1"/>
    <n v="55000"/>
    <n v="0"/>
    <x v="5"/>
    <x v="1"/>
    <n v="41000"/>
    <n v="55000"/>
    <n v="41000"/>
    <n v="14000"/>
    <x v="11"/>
  </r>
  <r>
    <x v="111"/>
    <d v="2025-01-14T00:00:00"/>
    <s v="Customer 018"/>
    <x v="1"/>
    <x v="1"/>
    <s v="P102"/>
    <n v="4"/>
    <n v="18000"/>
    <n v="0.1"/>
    <x v="3"/>
    <x v="1"/>
    <n v="13500"/>
    <n v="64800"/>
    <n v="54000"/>
    <n v="10800"/>
    <x v="9"/>
  </r>
  <r>
    <x v="112"/>
    <d v="2025-02-14T00:00:00"/>
    <s v="Customer 031"/>
    <x v="2"/>
    <x v="4"/>
    <s v="P104"/>
    <n v="11"/>
    <n v="8000"/>
    <n v="0"/>
    <x v="6"/>
    <x v="1"/>
    <n v="6200"/>
    <n v="88000"/>
    <n v="68200"/>
    <n v="19800"/>
    <x v="2"/>
  </r>
  <r>
    <x v="113"/>
    <d v="2025-07-01T00:00:00"/>
    <s v="Customer 048"/>
    <x v="2"/>
    <x v="2"/>
    <s v="P106"/>
    <n v="6"/>
    <n v="500"/>
    <n v="0.05"/>
    <x v="7"/>
    <x v="0"/>
    <n v="320"/>
    <n v="2850"/>
    <n v="1920"/>
    <n v="930"/>
    <x v="5"/>
  </r>
  <r>
    <x v="114"/>
    <d v="2025-02-08T00:00:00"/>
    <s v="Customer 054"/>
    <x v="1"/>
    <x v="1"/>
    <s v="P108"/>
    <n v="13"/>
    <n v="1500"/>
    <n v="0.1"/>
    <x v="0"/>
    <x v="0"/>
    <n v="980"/>
    <n v="17550"/>
    <n v="12740"/>
    <n v="4810"/>
    <x v="2"/>
  </r>
  <r>
    <x v="115"/>
    <d v="2025-08-16T00:00:00"/>
    <s v="Customer 024"/>
    <x v="0"/>
    <x v="0"/>
    <s v="P105"/>
    <n v="7"/>
    <n v="900"/>
    <n v="0"/>
    <x v="4"/>
    <x v="0"/>
    <n v="600"/>
    <n v="6300"/>
    <n v="4200"/>
    <n v="2100"/>
    <x v="0"/>
  </r>
  <r>
    <x v="116"/>
    <d v="2025-12-01T00:00:00"/>
    <s v="Customer 053"/>
    <x v="3"/>
    <x v="6"/>
    <s v="P105"/>
    <n v="9"/>
    <n v="900"/>
    <n v="0.15"/>
    <x v="4"/>
    <x v="0"/>
    <n v="600"/>
    <n v="6885"/>
    <n v="5400"/>
    <n v="1485"/>
    <x v="11"/>
  </r>
  <r>
    <x v="117"/>
    <d v="2025-08-07T00:00:00"/>
    <s v="Customer 006"/>
    <x v="3"/>
    <x v="6"/>
    <s v="P102"/>
    <n v="8"/>
    <n v="18000"/>
    <n v="0"/>
    <x v="3"/>
    <x v="1"/>
    <n v="13500"/>
    <n v="144000"/>
    <n v="108000"/>
    <n v="36000"/>
    <x v="0"/>
  </r>
  <r>
    <x v="118"/>
    <d v="2025-08-10T00:00:00"/>
    <s v="Customer 005"/>
    <x v="0"/>
    <x v="7"/>
    <s v="P108"/>
    <n v="5"/>
    <n v="1500"/>
    <n v="0"/>
    <x v="0"/>
    <x v="0"/>
    <n v="980"/>
    <n v="7500"/>
    <n v="4900"/>
    <n v="2600"/>
    <x v="0"/>
  </r>
  <r>
    <x v="119"/>
    <d v="2025-04-20T00:00:00"/>
    <s v="Customer 049"/>
    <x v="1"/>
    <x v="5"/>
    <s v="P105"/>
    <n v="8"/>
    <n v="900"/>
    <n v="0.15"/>
    <x v="4"/>
    <x v="0"/>
    <n v="600"/>
    <n v="6120"/>
    <n v="4800"/>
    <n v="1320"/>
    <x v="6"/>
  </r>
  <r>
    <x v="120"/>
    <d v="2025-05-25T00:00:00"/>
    <s v="Customer 047"/>
    <x v="2"/>
    <x v="4"/>
    <s v="P104"/>
    <n v="6"/>
    <n v="8000"/>
    <n v="0.15"/>
    <x v="6"/>
    <x v="1"/>
    <n v="6200"/>
    <n v="40800"/>
    <n v="37200"/>
    <n v="3600"/>
    <x v="8"/>
  </r>
  <r>
    <x v="121"/>
    <d v="2025-07-07T00:00:00"/>
    <s v="Customer 037"/>
    <x v="1"/>
    <x v="5"/>
    <s v="P106"/>
    <n v="12"/>
    <n v="500"/>
    <n v="0.05"/>
    <x v="7"/>
    <x v="0"/>
    <n v="320"/>
    <n v="5700"/>
    <n v="3840"/>
    <n v="1860"/>
    <x v="5"/>
  </r>
  <r>
    <x v="122"/>
    <d v="2025-08-13T00:00:00"/>
    <s v="Customer 026"/>
    <x v="3"/>
    <x v="6"/>
    <s v="P108"/>
    <n v="6"/>
    <n v="1500"/>
    <n v="0"/>
    <x v="0"/>
    <x v="0"/>
    <n v="980"/>
    <n v="9000"/>
    <n v="5880"/>
    <n v="3120"/>
    <x v="0"/>
  </r>
  <r>
    <x v="123"/>
    <d v="2025-02-13T00:00:00"/>
    <s v="Customer 044"/>
    <x v="3"/>
    <x v="3"/>
    <s v="P106"/>
    <n v="1"/>
    <n v="500"/>
    <n v="0"/>
    <x v="7"/>
    <x v="0"/>
    <n v="320"/>
    <n v="500"/>
    <n v="320"/>
    <n v="180"/>
    <x v="2"/>
  </r>
  <r>
    <x v="124"/>
    <d v="2025-10-27T00:00:00"/>
    <s v="Customer 024"/>
    <x v="0"/>
    <x v="7"/>
    <s v="P104"/>
    <n v="12"/>
    <n v="8000"/>
    <n v="0.1"/>
    <x v="6"/>
    <x v="1"/>
    <n v="6200"/>
    <n v="86400"/>
    <n v="74400"/>
    <n v="12000"/>
    <x v="10"/>
  </r>
  <r>
    <x v="125"/>
    <d v="2025-10-04T00:00:00"/>
    <s v="Customer 049"/>
    <x v="2"/>
    <x v="4"/>
    <s v="P103"/>
    <n v="3"/>
    <n v="12000"/>
    <n v="0"/>
    <x v="1"/>
    <x v="1"/>
    <n v="9000"/>
    <n v="36000"/>
    <n v="27000"/>
    <n v="9000"/>
    <x v="10"/>
  </r>
  <r>
    <x v="126"/>
    <d v="2025-05-25T00:00:00"/>
    <s v="Customer 035"/>
    <x v="1"/>
    <x v="1"/>
    <s v="P104"/>
    <n v="9"/>
    <n v="8000"/>
    <n v="0"/>
    <x v="6"/>
    <x v="1"/>
    <n v="6200"/>
    <n v="72000"/>
    <n v="55800"/>
    <n v="16200"/>
    <x v="8"/>
  </r>
  <r>
    <x v="127"/>
    <d v="2025-10-18T00:00:00"/>
    <s v="Customer 005"/>
    <x v="3"/>
    <x v="3"/>
    <s v="P101"/>
    <n v="11"/>
    <n v="55000"/>
    <n v="0.05"/>
    <x v="5"/>
    <x v="1"/>
    <n v="41000"/>
    <n v="574750"/>
    <n v="451000"/>
    <n v="123750"/>
    <x v="10"/>
  </r>
  <r>
    <x v="128"/>
    <d v="2025-10-07T00:00:00"/>
    <s v="Customer 048"/>
    <x v="1"/>
    <x v="1"/>
    <s v="P106"/>
    <n v="2"/>
    <n v="500"/>
    <n v="0"/>
    <x v="7"/>
    <x v="0"/>
    <n v="320"/>
    <n v="1000"/>
    <n v="640"/>
    <n v="360"/>
    <x v="10"/>
  </r>
  <r>
    <x v="129"/>
    <d v="2025-06-10T00:00:00"/>
    <s v="Customer 010"/>
    <x v="1"/>
    <x v="1"/>
    <s v="P101"/>
    <n v="11"/>
    <n v="55000"/>
    <n v="0.15"/>
    <x v="5"/>
    <x v="1"/>
    <n v="41000"/>
    <n v="514250"/>
    <n v="451000"/>
    <n v="63250"/>
    <x v="4"/>
  </r>
  <r>
    <x v="130"/>
    <d v="2025-11-29T00:00:00"/>
    <s v="Customer 032"/>
    <x v="0"/>
    <x v="7"/>
    <s v="P104"/>
    <n v="12"/>
    <n v="8000"/>
    <n v="0"/>
    <x v="6"/>
    <x v="1"/>
    <n v="6200"/>
    <n v="96000"/>
    <n v="74400"/>
    <n v="21600"/>
    <x v="3"/>
  </r>
  <r>
    <x v="131"/>
    <d v="2025-08-24T00:00:00"/>
    <s v="Customer 044"/>
    <x v="0"/>
    <x v="0"/>
    <s v="P106"/>
    <n v="6"/>
    <n v="500"/>
    <n v="0"/>
    <x v="7"/>
    <x v="0"/>
    <n v="320"/>
    <n v="3000"/>
    <n v="1920"/>
    <n v="1080"/>
    <x v="0"/>
  </r>
  <r>
    <x v="132"/>
    <d v="2025-09-10T00:00:00"/>
    <s v="Customer 059"/>
    <x v="0"/>
    <x v="0"/>
    <s v="P102"/>
    <n v="12"/>
    <n v="18000"/>
    <n v="0.1"/>
    <x v="3"/>
    <x v="1"/>
    <n v="13500"/>
    <n v="194400"/>
    <n v="162000"/>
    <n v="32400"/>
    <x v="1"/>
  </r>
  <r>
    <x v="133"/>
    <d v="2025-07-30T00:00:00"/>
    <s v="Customer 054"/>
    <x v="3"/>
    <x v="6"/>
    <s v="P101"/>
    <n v="13"/>
    <n v="55000"/>
    <n v="0.05"/>
    <x v="5"/>
    <x v="1"/>
    <n v="41000"/>
    <n v="679250"/>
    <n v="533000"/>
    <n v="146250"/>
    <x v="5"/>
  </r>
  <r>
    <x v="134"/>
    <d v="2025-08-26T00:00:00"/>
    <s v="Customer 052"/>
    <x v="1"/>
    <x v="1"/>
    <s v="P106"/>
    <n v="12"/>
    <n v="500"/>
    <n v="0"/>
    <x v="7"/>
    <x v="0"/>
    <n v="320"/>
    <n v="6000"/>
    <n v="3840"/>
    <n v="2160"/>
    <x v="0"/>
  </r>
  <r>
    <x v="135"/>
    <d v="2025-08-04T00:00:00"/>
    <s v="Customer 011"/>
    <x v="0"/>
    <x v="7"/>
    <s v="P103"/>
    <n v="4"/>
    <n v="12000"/>
    <n v="0.15"/>
    <x v="1"/>
    <x v="1"/>
    <n v="9000"/>
    <n v="40800"/>
    <n v="36000"/>
    <n v="4800"/>
    <x v="0"/>
  </r>
  <r>
    <x v="136"/>
    <d v="2025-12-17T00:00:00"/>
    <s v="Customer 028"/>
    <x v="2"/>
    <x v="4"/>
    <s v="P106"/>
    <n v="4"/>
    <n v="500"/>
    <n v="0.05"/>
    <x v="7"/>
    <x v="0"/>
    <n v="320"/>
    <n v="1900"/>
    <n v="1280"/>
    <n v="620"/>
    <x v="11"/>
  </r>
  <r>
    <x v="137"/>
    <d v="2025-05-21T00:00:00"/>
    <s v="Customer 008"/>
    <x v="1"/>
    <x v="5"/>
    <s v="P108"/>
    <n v="5"/>
    <n v="1500"/>
    <n v="0.15"/>
    <x v="0"/>
    <x v="0"/>
    <n v="980"/>
    <n v="6375"/>
    <n v="4900"/>
    <n v="1475"/>
    <x v="8"/>
  </r>
  <r>
    <x v="138"/>
    <d v="2025-11-28T00:00:00"/>
    <s v="Customer 049"/>
    <x v="2"/>
    <x v="4"/>
    <s v="P103"/>
    <n v="15"/>
    <n v="12000"/>
    <n v="0"/>
    <x v="1"/>
    <x v="1"/>
    <n v="9000"/>
    <n v="180000"/>
    <n v="135000"/>
    <n v="45000"/>
    <x v="3"/>
  </r>
  <r>
    <x v="139"/>
    <d v="2025-01-09T00:00:00"/>
    <s v="Customer 013"/>
    <x v="0"/>
    <x v="0"/>
    <s v="P101"/>
    <n v="6"/>
    <n v="55000"/>
    <n v="0"/>
    <x v="5"/>
    <x v="1"/>
    <n v="41000"/>
    <n v="330000"/>
    <n v="246000"/>
    <n v="84000"/>
    <x v="9"/>
  </r>
  <r>
    <x v="140"/>
    <d v="2025-07-03T00:00:00"/>
    <s v="Customer 031"/>
    <x v="2"/>
    <x v="2"/>
    <s v="P104"/>
    <n v="10"/>
    <n v="8000"/>
    <n v="0.15"/>
    <x v="6"/>
    <x v="1"/>
    <n v="6200"/>
    <n v="68000"/>
    <n v="62000"/>
    <n v="6000"/>
    <x v="5"/>
  </r>
  <r>
    <x v="141"/>
    <d v="2025-08-15T00:00:00"/>
    <s v="Customer 059"/>
    <x v="2"/>
    <x v="4"/>
    <s v="P105"/>
    <n v="7"/>
    <n v="900"/>
    <n v="0"/>
    <x v="4"/>
    <x v="0"/>
    <n v="600"/>
    <n v="6300"/>
    <n v="4200"/>
    <n v="2100"/>
    <x v="0"/>
  </r>
  <r>
    <x v="142"/>
    <d v="2025-11-17T00:00:00"/>
    <s v="Customer 059"/>
    <x v="0"/>
    <x v="7"/>
    <s v="P105"/>
    <n v="8"/>
    <n v="900"/>
    <n v="0.05"/>
    <x v="4"/>
    <x v="0"/>
    <n v="600"/>
    <n v="6840"/>
    <n v="4800"/>
    <n v="2040"/>
    <x v="3"/>
  </r>
  <r>
    <x v="143"/>
    <d v="2025-12-05T00:00:00"/>
    <s v="Customer 026"/>
    <x v="1"/>
    <x v="1"/>
    <s v="P108"/>
    <n v="14"/>
    <n v="1500"/>
    <n v="0"/>
    <x v="0"/>
    <x v="0"/>
    <n v="980"/>
    <n v="21000"/>
    <n v="13720"/>
    <n v="7280"/>
    <x v="11"/>
  </r>
  <r>
    <x v="144"/>
    <d v="2025-04-22T00:00:00"/>
    <s v="Customer 050"/>
    <x v="2"/>
    <x v="4"/>
    <s v="P107"/>
    <n v="9"/>
    <n v="2000"/>
    <n v="0.1"/>
    <x v="2"/>
    <x v="0"/>
    <n v="1300"/>
    <n v="16200"/>
    <n v="11700"/>
    <n v="4500"/>
    <x v="6"/>
  </r>
  <r>
    <x v="145"/>
    <d v="2025-01-30T00:00:00"/>
    <s v="Customer 058"/>
    <x v="2"/>
    <x v="4"/>
    <s v="P101"/>
    <n v="14"/>
    <n v="55000"/>
    <n v="0.05"/>
    <x v="5"/>
    <x v="1"/>
    <n v="41000"/>
    <n v="731500"/>
    <n v="574000"/>
    <n v="157500"/>
    <x v="9"/>
  </r>
  <r>
    <x v="146"/>
    <d v="2025-08-19T00:00:00"/>
    <s v="Customer 027"/>
    <x v="2"/>
    <x v="2"/>
    <s v="P107"/>
    <n v="10"/>
    <n v="2000"/>
    <n v="0"/>
    <x v="2"/>
    <x v="0"/>
    <n v="1300"/>
    <n v="20000"/>
    <n v="13000"/>
    <n v="7000"/>
    <x v="0"/>
  </r>
  <r>
    <x v="147"/>
    <d v="2025-06-14T00:00:00"/>
    <s v="Customer 009"/>
    <x v="2"/>
    <x v="4"/>
    <s v="P105"/>
    <n v="15"/>
    <n v="900"/>
    <n v="0.1"/>
    <x v="4"/>
    <x v="0"/>
    <n v="600"/>
    <n v="12150"/>
    <n v="9000"/>
    <n v="3150"/>
    <x v="4"/>
  </r>
  <r>
    <x v="148"/>
    <d v="2025-09-22T00:00:00"/>
    <s v="Customer 001"/>
    <x v="1"/>
    <x v="1"/>
    <s v="P103"/>
    <n v="10"/>
    <n v="12000"/>
    <n v="0"/>
    <x v="1"/>
    <x v="1"/>
    <n v="9000"/>
    <n v="120000"/>
    <n v="90000"/>
    <n v="30000"/>
    <x v="1"/>
  </r>
  <r>
    <x v="149"/>
    <d v="2025-03-18T00:00:00"/>
    <s v="Customer 040"/>
    <x v="2"/>
    <x v="2"/>
    <s v="P102"/>
    <n v="6"/>
    <n v="18000"/>
    <n v="0"/>
    <x v="3"/>
    <x v="1"/>
    <n v="13500"/>
    <n v="108000"/>
    <n v="81000"/>
    <n v="27000"/>
    <x v="7"/>
  </r>
  <r>
    <x v="150"/>
    <d v="2025-01-10T00:00:00"/>
    <s v="Customer 006"/>
    <x v="2"/>
    <x v="4"/>
    <s v="P107"/>
    <n v="4"/>
    <n v="2000"/>
    <n v="0.15"/>
    <x v="2"/>
    <x v="0"/>
    <n v="1300"/>
    <n v="6800"/>
    <n v="5200"/>
    <n v="1600"/>
    <x v="9"/>
  </r>
  <r>
    <x v="151"/>
    <d v="2025-04-17T00:00:00"/>
    <s v="Customer 011"/>
    <x v="1"/>
    <x v="5"/>
    <s v="P107"/>
    <n v="9"/>
    <n v="2000"/>
    <n v="0.05"/>
    <x v="2"/>
    <x v="0"/>
    <n v="1300"/>
    <n v="17100"/>
    <n v="11700"/>
    <n v="5400"/>
    <x v="6"/>
  </r>
  <r>
    <x v="152"/>
    <d v="2025-06-11T00:00:00"/>
    <s v="Customer 020"/>
    <x v="3"/>
    <x v="3"/>
    <s v="P107"/>
    <n v="2"/>
    <n v="2000"/>
    <n v="0.1"/>
    <x v="2"/>
    <x v="0"/>
    <n v="1300"/>
    <n v="3600"/>
    <n v="2600"/>
    <n v="1000"/>
    <x v="4"/>
  </r>
  <r>
    <x v="153"/>
    <d v="2025-12-08T00:00:00"/>
    <s v="Customer 009"/>
    <x v="1"/>
    <x v="1"/>
    <s v="P106"/>
    <n v="2"/>
    <n v="500"/>
    <n v="0.15"/>
    <x v="7"/>
    <x v="0"/>
    <n v="320"/>
    <n v="850"/>
    <n v="640"/>
    <n v="210"/>
    <x v="11"/>
  </r>
  <r>
    <x v="154"/>
    <d v="2025-12-08T00:00:00"/>
    <s v="Customer 042"/>
    <x v="0"/>
    <x v="7"/>
    <s v="P108"/>
    <n v="12"/>
    <n v="1500"/>
    <n v="0"/>
    <x v="0"/>
    <x v="0"/>
    <n v="980"/>
    <n v="18000"/>
    <n v="11760"/>
    <n v="6240"/>
    <x v="11"/>
  </r>
  <r>
    <x v="155"/>
    <d v="2025-01-07T00:00:00"/>
    <s v="Customer 037"/>
    <x v="0"/>
    <x v="0"/>
    <s v="P108"/>
    <n v="4"/>
    <n v="1500"/>
    <n v="0"/>
    <x v="0"/>
    <x v="0"/>
    <n v="980"/>
    <n v="6000"/>
    <n v="3920"/>
    <n v="2080"/>
    <x v="9"/>
  </r>
  <r>
    <x v="156"/>
    <d v="2025-08-23T00:00:00"/>
    <s v="Customer 010"/>
    <x v="1"/>
    <x v="5"/>
    <s v="P104"/>
    <n v="15"/>
    <n v="8000"/>
    <n v="0.1"/>
    <x v="6"/>
    <x v="1"/>
    <n v="6200"/>
    <n v="108000"/>
    <n v="93000"/>
    <n v="15000"/>
    <x v="0"/>
  </r>
  <r>
    <x v="157"/>
    <d v="2025-11-18T00:00:00"/>
    <s v="Customer 036"/>
    <x v="0"/>
    <x v="0"/>
    <s v="P105"/>
    <n v="6"/>
    <n v="900"/>
    <n v="0.05"/>
    <x v="4"/>
    <x v="0"/>
    <n v="600"/>
    <n v="5130"/>
    <n v="3600"/>
    <n v="1530"/>
    <x v="3"/>
  </r>
  <r>
    <x v="158"/>
    <d v="2025-05-12T00:00:00"/>
    <s v="Customer 008"/>
    <x v="2"/>
    <x v="4"/>
    <s v="P104"/>
    <n v="7"/>
    <n v="8000"/>
    <n v="0.15"/>
    <x v="6"/>
    <x v="1"/>
    <n v="6200"/>
    <n v="47600"/>
    <n v="43400"/>
    <n v="4200"/>
    <x v="8"/>
  </r>
  <r>
    <x v="159"/>
    <d v="2025-06-08T00:00:00"/>
    <s v="Customer 022"/>
    <x v="3"/>
    <x v="3"/>
    <s v="P108"/>
    <n v="12"/>
    <n v="1500"/>
    <n v="0.15"/>
    <x v="0"/>
    <x v="0"/>
    <n v="980"/>
    <n v="15300"/>
    <n v="11760"/>
    <n v="3540"/>
    <x v="4"/>
  </r>
  <r>
    <x v="160"/>
    <d v="2025-07-15T00:00:00"/>
    <s v="Customer 007"/>
    <x v="1"/>
    <x v="1"/>
    <s v="P102"/>
    <n v="3"/>
    <n v="18000"/>
    <n v="0.1"/>
    <x v="3"/>
    <x v="1"/>
    <n v="13500"/>
    <n v="48600"/>
    <n v="40500"/>
    <n v="8100"/>
    <x v="5"/>
  </r>
  <r>
    <x v="161"/>
    <d v="2025-12-13T00:00:00"/>
    <s v="Customer 003"/>
    <x v="2"/>
    <x v="4"/>
    <s v="P103"/>
    <n v="4"/>
    <n v="12000"/>
    <n v="0.05"/>
    <x v="1"/>
    <x v="1"/>
    <n v="9000"/>
    <n v="45600"/>
    <n v="36000"/>
    <n v="9600"/>
    <x v="11"/>
  </r>
  <r>
    <x v="162"/>
    <d v="2025-10-31T00:00:00"/>
    <s v="Customer 011"/>
    <x v="1"/>
    <x v="1"/>
    <s v="P102"/>
    <n v="4"/>
    <n v="18000"/>
    <n v="0"/>
    <x v="3"/>
    <x v="1"/>
    <n v="13500"/>
    <n v="72000"/>
    <n v="54000"/>
    <n v="18000"/>
    <x v="10"/>
  </r>
  <r>
    <x v="163"/>
    <d v="2025-08-11T00:00:00"/>
    <s v="Customer 060"/>
    <x v="0"/>
    <x v="0"/>
    <s v="P102"/>
    <n v="6"/>
    <n v="18000"/>
    <n v="0.05"/>
    <x v="3"/>
    <x v="1"/>
    <n v="13500"/>
    <n v="102600"/>
    <n v="81000"/>
    <n v="21600"/>
    <x v="0"/>
  </r>
  <r>
    <x v="164"/>
    <d v="2025-11-28T00:00:00"/>
    <s v="Customer 025"/>
    <x v="2"/>
    <x v="4"/>
    <s v="P103"/>
    <n v="14"/>
    <n v="12000"/>
    <n v="0.15"/>
    <x v="1"/>
    <x v="1"/>
    <n v="9000"/>
    <n v="142800"/>
    <n v="126000"/>
    <n v="16800"/>
    <x v="3"/>
  </r>
  <r>
    <x v="165"/>
    <d v="2025-06-19T00:00:00"/>
    <s v="Customer 040"/>
    <x v="0"/>
    <x v="7"/>
    <s v="P101"/>
    <n v="12"/>
    <n v="55000"/>
    <n v="0.05"/>
    <x v="5"/>
    <x v="1"/>
    <n v="41000"/>
    <n v="627000"/>
    <n v="492000"/>
    <n v="135000"/>
    <x v="4"/>
  </r>
  <r>
    <x v="166"/>
    <d v="2025-05-06T00:00:00"/>
    <s v="Customer 022"/>
    <x v="1"/>
    <x v="5"/>
    <s v="P105"/>
    <n v="6"/>
    <n v="900"/>
    <n v="0"/>
    <x v="4"/>
    <x v="0"/>
    <n v="600"/>
    <n v="5400"/>
    <n v="3600"/>
    <n v="1800"/>
    <x v="8"/>
  </r>
  <r>
    <x v="167"/>
    <d v="2025-11-30T00:00:00"/>
    <s v="Customer 014"/>
    <x v="0"/>
    <x v="7"/>
    <s v="P102"/>
    <n v="9"/>
    <n v="18000"/>
    <n v="0.05"/>
    <x v="3"/>
    <x v="1"/>
    <n v="13500"/>
    <n v="153900"/>
    <n v="121500"/>
    <n v="32400"/>
    <x v="3"/>
  </r>
  <r>
    <x v="168"/>
    <d v="2025-05-31T00:00:00"/>
    <s v="Customer 058"/>
    <x v="1"/>
    <x v="5"/>
    <s v="P103"/>
    <n v="5"/>
    <n v="12000"/>
    <n v="0.1"/>
    <x v="1"/>
    <x v="1"/>
    <n v="9000"/>
    <n v="54000"/>
    <n v="45000"/>
    <n v="9000"/>
    <x v="8"/>
  </r>
  <r>
    <x v="169"/>
    <d v="2025-10-21T00:00:00"/>
    <s v="Customer 041"/>
    <x v="2"/>
    <x v="2"/>
    <s v="P104"/>
    <n v="10"/>
    <n v="8000"/>
    <n v="0"/>
    <x v="6"/>
    <x v="1"/>
    <n v="6200"/>
    <n v="80000"/>
    <n v="62000"/>
    <n v="18000"/>
    <x v="10"/>
  </r>
  <r>
    <x v="170"/>
    <d v="2025-02-12T00:00:00"/>
    <s v="Customer 027"/>
    <x v="2"/>
    <x v="4"/>
    <s v="P104"/>
    <n v="8"/>
    <n v="8000"/>
    <n v="0.1"/>
    <x v="6"/>
    <x v="1"/>
    <n v="6200"/>
    <n v="57600"/>
    <n v="49600"/>
    <n v="8000"/>
    <x v="2"/>
  </r>
  <r>
    <x v="171"/>
    <d v="2025-06-18T00:00:00"/>
    <s v="Customer 057"/>
    <x v="1"/>
    <x v="1"/>
    <s v="P106"/>
    <n v="5"/>
    <n v="500"/>
    <n v="0.05"/>
    <x v="7"/>
    <x v="0"/>
    <n v="320"/>
    <n v="2375"/>
    <n v="1600"/>
    <n v="775"/>
    <x v="4"/>
  </r>
  <r>
    <x v="172"/>
    <d v="2025-08-20T00:00:00"/>
    <s v="Customer 035"/>
    <x v="2"/>
    <x v="2"/>
    <s v="P104"/>
    <n v="15"/>
    <n v="8000"/>
    <n v="0.1"/>
    <x v="6"/>
    <x v="1"/>
    <n v="6200"/>
    <n v="108000"/>
    <n v="93000"/>
    <n v="15000"/>
    <x v="0"/>
  </r>
  <r>
    <x v="173"/>
    <d v="2025-10-14T00:00:00"/>
    <s v="Customer 058"/>
    <x v="3"/>
    <x v="3"/>
    <s v="P103"/>
    <n v="15"/>
    <n v="12000"/>
    <n v="0.15"/>
    <x v="1"/>
    <x v="1"/>
    <n v="9000"/>
    <n v="153000"/>
    <n v="135000"/>
    <n v="18000"/>
    <x v="10"/>
  </r>
  <r>
    <x v="174"/>
    <d v="2025-11-04T00:00:00"/>
    <s v="Customer 019"/>
    <x v="2"/>
    <x v="4"/>
    <s v="P102"/>
    <n v="15"/>
    <n v="18000"/>
    <n v="0"/>
    <x v="3"/>
    <x v="1"/>
    <n v="13500"/>
    <n v="270000"/>
    <n v="202500"/>
    <n v="67500"/>
    <x v="3"/>
  </r>
  <r>
    <x v="175"/>
    <d v="2025-05-04T00:00:00"/>
    <s v="Unknown"/>
    <x v="3"/>
    <x v="6"/>
    <s v="P103"/>
    <n v="3"/>
    <n v="12000"/>
    <n v="0.1"/>
    <x v="1"/>
    <x v="1"/>
    <n v="9000"/>
    <n v="32400"/>
    <n v="27000"/>
    <n v="5400"/>
    <x v="8"/>
  </r>
  <r>
    <x v="176"/>
    <d v="2025-08-21T00:00:00"/>
    <s v="Customer 009"/>
    <x v="1"/>
    <x v="5"/>
    <s v="P107"/>
    <n v="3"/>
    <n v="2000"/>
    <n v="0.15"/>
    <x v="2"/>
    <x v="0"/>
    <n v="1300"/>
    <n v="5100"/>
    <n v="3900"/>
    <n v="1200"/>
    <x v="0"/>
  </r>
  <r>
    <x v="177"/>
    <d v="2025-12-10T00:00:00"/>
    <s v="Customer 027"/>
    <x v="0"/>
    <x v="7"/>
    <s v="P101"/>
    <n v="3"/>
    <n v="55000"/>
    <n v="0"/>
    <x v="5"/>
    <x v="1"/>
    <n v="41000"/>
    <n v="165000"/>
    <n v="123000"/>
    <n v="42000"/>
    <x v="11"/>
  </r>
  <r>
    <x v="178"/>
    <d v="2025-01-17T00:00:00"/>
    <s v="Customer 026"/>
    <x v="2"/>
    <x v="2"/>
    <s v="P107"/>
    <n v="2"/>
    <n v="2000"/>
    <n v="0.1"/>
    <x v="2"/>
    <x v="0"/>
    <n v="1300"/>
    <n v="3600"/>
    <n v="2600"/>
    <n v="1000"/>
    <x v="9"/>
  </r>
  <r>
    <x v="179"/>
    <d v="2025-06-22T00:00:00"/>
    <s v="Customer 060"/>
    <x v="2"/>
    <x v="4"/>
    <s v="P105"/>
    <n v="4"/>
    <n v="900"/>
    <n v="0.1"/>
    <x v="4"/>
    <x v="0"/>
    <n v="600"/>
    <n v="3240"/>
    <n v="2400"/>
    <n v="840"/>
    <x v="4"/>
  </r>
  <r>
    <x v="180"/>
    <d v="2025-01-28T00:00:00"/>
    <s v="Customer 039"/>
    <x v="1"/>
    <x v="1"/>
    <s v="P103"/>
    <n v="7"/>
    <n v="12000"/>
    <n v="0.05"/>
    <x v="1"/>
    <x v="1"/>
    <n v="9000"/>
    <n v="79800"/>
    <n v="63000"/>
    <n v="16800"/>
    <x v="9"/>
  </r>
  <r>
    <x v="181"/>
    <d v="2025-08-29T00:00:00"/>
    <s v="Customer 059"/>
    <x v="3"/>
    <x v="3"/>
    <s v="P107"/>
    <n v="15"/>
    <n v="2000"/>
    <n v="0.1"/>
    <x v="2"/>
    <x v="0"/>
    <n v="1300"/>
    <n v="27000"/>
    <n v="19500"/>
    <n v="7500"/>
    <x v="0"/>
  </r>
  <r>
    <x v="182"/>
    <d v="2025-05-25T00:00:00"/>
    <s v="Customer 027"/>
    <x v="0"/>
    <x v="7"/>
    <s v="P108"/>
    <n v="14"/>
    <n v="1500"/>
    <n v="0.15"/>
    <x v="0"/>
    <x v="0"/>
    <n v="980"/>
    <n v="17850"/>
    <n v="13720"/>
    <n v="4130"/>
    <x v="8"/>
  </r>
  <r>
    <x v="183"/>
    <d v="2025-03-02T00:00:00"/>
    <s v="Customer 028"/>
    <x v="1"/>
    <x v="5"/>
    <s v="P106"/>
    <n v="9"/>
    <n v="500"/>
    <n v="0.1"/>
    <x v="7"/>
    <x v="0"/>
    <n v="320"/>
    <n v="4050"/>
    <n v="2880"/>
    <n v="1170"/>
    <x v="7"/>
  </r>
  <r>
    <x v="184"/>
    <d v="2025-01-13T00:00:00"/>
    <s v="Customer 040"/>
    <x v="3"/>
    <x v="3"/>
    <s v="P101"/>
    <n v="5"/>
    <n v="55000"/>
    <n v="0.15"/>
    <x v="5"/>
    <x v="1"/>
    <n v="41000"/>
    <n v="233750"/>
    <n v="205000"/>
    <n v="28750"/>
    <x v="9"/>
  </r>
  <r>
    <x v="185"/>
    <d v="2025-07-12T00:00:00"/>
    <s v="Customer 057"/>
    <x v="3"/>
    <x v="6"/>
    <s v="P105"/>
    <n v="15"/>
    <n v="900"/>
    <n v="0.1"/>
    <x v="4"/>
    <x v="0"/>
    <n v="600"/>
    <n v="12150"/>
    <n v="9000"/>
    <n v="3150"/>
    <x v="5"/>
  </r>
  <r>
    <x v="186"/>
    <d v="2025-05-06T00:00:00"/>
    <s v="Customer 056"/>
    <x v="1"/>
    <x v="5"/>
    <s v="P108"/>
    <n v="4"/>
    <n v="1500"/>
    <n v="0.1"/>
    <x v="0"/>
    <x v="0"/>
    <n v="980"/>
    <n v="5400"/>
    <n v="3920"/>
    <n v="1480"/>
    <x v="8"/>
  </r>
  <r>
    <x v="187"/>
    <d v="2025-01-27T00:00:00"/>
    <s v="Customer 035"/>
    <x v="0"/>
    <x v="7"/>
    <s v="P102"/>
    <n v="9"/>
    <n v="18000"/>
    <n v="0"/>
    <x v="3"/>
    <x v="1"/>
    <n v="13500"/>
    <n v="162000"/>
    <n v="121500"/>
    <n v="40500"/>
    <x v="9"/>
  </r>
  <r>
    <x v="188"/>
    <d v="2025-12-03T00:00:00"/>
    <s v="Customer 059"/>
    <x v="0"/>
    <x v="7"/>
    <s v="P104"/>
    <n v="15"/>
    <n v="8000"/>
    <n v="0"/>
    <x v="6"/>
    <x v="1"/>
    <n v="6200"/>
    <n v="120000"/>
    <n v="93000"/>
    <n v="27000"/>
    <x v="11"/>
  </r>
  <r>
    <x v="189"/>
    <d v="2025-10-07T00:00:00"/>
    <s v="Customer 048"/>
    <x v="0"/>
    <x v="7"/>
    <s v="P103"/>
    <n v="4"/>
    <n v="12000"/>
    <n v="0.15"/>
    <x v="1"/>
    <x v="1"/>
    <n v="9000"/>
    <n v="40800"/>
    <n v="36000"/>
    <n v="4800"/>
    <x v="10"/>
  </r>
  <r>
    <x v="190"/>
    <d v="2025-10-18T00:00:00"/>
    <s v="Customer 051"/>
    <x v="1"/>
    <x v="1"/>
    <s v="P102"/>
    <n v="2"/>
    <n v="18000"/>
    <n v="0.1"/>
    <x v="3"/>
    <x v="1"/>
    <n v="13500"/>
    <n v="32400"/>
    <n v="27000"/>
    <n v="5400"/>
    <x v="10"/>
  </r>
  <r>
    <x v="191"/>
    <d v="2025-03-05T00:00:00"/>
    <s v="Customer 047"/>
    <x v="0"/>
    <x v="7"/>
    <s v="P101"/>
    <n v="5"/>
    <n v="55000"/>
    <n v="0"/>
    <x v="5"/>
    <x v="1"/>
    <n v="41000"/>
    <n v="275000"/>
    <n v="205000"/>
    <n v="70000"/>
    <x v="7"/>
  </r>
  <r>
    <x v="192"/>
    <d v="2025-01-13T00:00:00"/>
    <s v="Customer 058"/>
    <x v="3"/>
    <x v="3"/>
    <s v="P103"/>
    <n v="2"/>
    <n v="12000"/>
    <n v="0.05"/>
    <x v="1"/>
    <x v="1"/>
    <n v="9000"/>
    <n v="22800"/>
    <n v="18000"/>
    <n v="4800"/>
    <x v="9"/>
  </r>
  <r>
    <x v="193"/>
    <d v="2025-09-29T00:00:00"/>
    <s v="Customer 038"/>
    <x v="0"/>
    <x v="0"/>
    <s v="P103"/>
    <n v="6"/>
    <n v="12000"/>
    <n v="0.15"/>
    <x v="1"/>
    <x v="1"/>
    <n v="9000"/>
    <n v="61200"/>
    <n v="54000"/>
    <n v="7200"/>
    <x v="1"/>
  </r>
  <r>
    <x v="194"/>
    <d v="2025-01-24T00:00:00"/>
    <s v="Customer 020"/>
    <x v="3"/>
    <x v="3"/>
    <s v="P101"/>
    <n v="8"/>
    <n v="55000"/>
    <n v="0"/>
    <x v="5"/>
    <x v="1"/>
    <n v="41000"/>
    <n v="440000"/>
    <n v="328000"/>
    <n v="112000"/>
    <x v="9"/>
  </r>
  <r>
    <x v="195"/>
    <d v="2025-09-13T00:00:00"/>
    <s v="Customer 013"/>
    <x v="2"/>
    <x v="4"/>
    <s v="P108"/>
    <n v="15"/>
    <n v="1500"/>
    <n v="0"/>
    <x v="0"/>
    <x v="0"/>
    <n v="980"/>
    <n v="22500"/>
    <n v="14700"/>
    <n v="7800"/>
    <x v="1"/>
  </r>
  <r>
    <x v="196"/>
    <d v="2025-12-21T00:00:00"/>
    <s v="Customer 058"/>
    <x v="1"/>
    <x v="5"/>
    <s v="P104"/>
    <n v="6"/>
    <n v="8000"/>
    <n v="0"/>
    <x v="6"/>
    <x v="1"/>
    <n v="6200"/>
    <n v="48000"/>
    <n v="37200"/>
    <n v="10800"/>
    <x v="11"/>
  </r>
  <r>
    <x v="197"/>
    <d v="2025-01-09T00:00:00"/>
    <s v="Customer 016"/>
    <x v="2"/>
    <x v="2"/>
    <s v="P104"/>
    <n v="9"/>
    <n v="8000"/>
    <n v="0.15"/>
    <x v="6"/>
    <x v="1"/>
    <n v="6200"/>
    <n v="61200"/>
    <n v="55800"/>
    <n v="5400"/>
    <x v="9"/>
  </r>
  <r>
    <x v="198"/>
    <d v="2025-01-26T00:00:00"/>
    <s v="Customer 058"/>
    <x v="1"/>
    <x v="5"/>
    <s v="P105"/>
    <n v="12"/>
    <n v="900"/>
    <n v="0"/>
    <x v="4"/>
    <x v="0"/>
    <n v="600"/>
    <n v="10800"/>
    <n v="7200"/>
    <n v="3600"/>
    <x v="9"/>
  </r>
  <r>
    <x v="199"/>
    <d v="2025-08-04T00:00:00"/>
    <s v="Customer 027"/>
    <x v="2"/>
    <x v="2"/>
    <s v="P106"/>
    <n v="12"/>
    <n v="500"/>
    <n v="0.05"/>
    <x v="7"/>
    <x v="0"/>
    <n v="320"/>
    <n v="5700"/>
    <n v="3840"/>
    <n v="1860"/>
    <x v="0"/>
  </r>
  <r>
    <x v="200"/>
    <d v="2025-03-28T00:00:00"/>
    <s v="Customer 045"/>
    <x v="2"/>
    <x v="2"/>
    <s v="P105"/>
    <n v="2"/>
    <n v="900"/>
    <n v="0.15"/>
    <x v="4"/>
    <x v="0"/>
    <n v="600"/>
    <n v="1530"/>
    <n v="1200"/>
    <n v="330"/>
    <x v="7"/>
  </r>
  <r>
    <x v="201"/>
    <d v="2025-05-18T00:00:00"/>
    <s v="Customer 019"/>
    <x v="2"/>
    <x v="4"/>
    <s v="P104"/>
    <n v="9"/>
    <n v="8000"/>
    <n v="0.15"/>
    <x v="6"/>
    <x v="1"/>
    <n v="6200"/>
    <n v="61200"/>
    <n v="55800"/>
    <n v="5400"/>
    <x v="8"/>
  </r>
  <r>
    <x v="202"/>
    <d v="2025-07-10T00:00:00"/>
    <s v="Customer 043"/>
    <x v="1"/>
    <x v="1"/>
    <s v="P104"/>
    <n v="5"/>
    <n v="8000"/>
    <n v="0"/>
    <x v="6"/>
    <x v="1"/>
    <n v="6200"/>
    <n v="40000"/>
    <n v="31000"/>
    <n v="9000"/>
    <x v="5"/>
  </r>
  <r>
    <x v="203"/>
    <d v="2025-05-22T00:00:00"/>
    <s v="Customer 029"/>
    <x v="2"/>
    <x v="2"/>
    <s v="P102"/>
    <n v="8"/>
    <n v="18000"/>
    <n v="0"/>
    <x v="3"/>
    <x v="1"/>
    <n v="13500"/>
    <n v="144000"/>
    <n v="108000"/>
    <n v="36000"/>
    <x v="8"/>
  </r>
  <r>
    <x v="204"/>
    <d v="2025-09-29T00:00:00"/>
    <s v="Customer 019"/>
    <x v="1"/>
    <x v="5"/>
    <s v="P101"/>
    <n v="10"/>
    <n v="55000"/>
    <n v="0.1"/>
    <x v="5"/>
    <x v="1"/>
    <n v="41000"/>
    <n v="495000"/>
    <n v="410000"/>
    <n v="85000"/>
    <x v="1"/>
  </r>
  <r>
    <x v="205"/>
    <d v="2025-08-05T00:00:00"/>
    <s v="Customer 016"/>
    <x v="1"/>
    <x v="1"/>
    <s v="P103"/>
    <n v="5"/>
    <n v="12000"/>
    <n v="0"/>
    <x v="1"/>
    <x v="1"/>
    <n v="9000"/>
    <n v="60000"/>
    <n v="45000"/>
    <n v="15000"/>
    <x v="0"/>
  </r>
  <r>
    <x v="206"/>
    <d v="2025-05-23T00:00:00"/>
    <s v="Customer 058"/>
    <x v="1"/>
    <x v="1"/>
    <s v="P103"/>
    <n v="13"/>
    <n v="12000"/>
    <n v="0"/>
    <x v="1"/>
    <x v="1"/>
    <n v="9000"/>
    <n v="156000"/>
    <n v="117000"/>
    <n v="39000"/>
    <x v="8"/>
  </r>
  <r>
    <x v="207"/>
    <d v="2025-11-15T00:00:00"/>
    <s v="Customer 004"/>
    <x v="0"/>
    <x v="0"/>
    <s v="P107"/>
    <n v="1"/>
    <n v="2000"/>
    <n v="0.05"/>
    <x v="2"/>
    <x v="0"/>
    <n v="1300"/>
    <n v="1900"/>
    <n v="1300"/>
    <n v="600"/>
    <x v="3"/>
  </r>
  <r>
    <x v="208"/>
    <d v="2025-02-02T00:00:00"/>
    <s v="Customer 051"/>
    <x v="3"/>
    <x v="6"/>
    <s v="P106"/>
    <n v="11"/>
    <n v="500"/>
    <n v="0.05"/>
    <x v="7"/>
    <x v="0"/>
    <n v="320"/>
    <n v="5225"/>
    <n v="3520"/>
    <n v="1705"/>
    <x v="2"/>
  </r>
  <r>
    <x v="209"/>
    <d v="2025-09-22T00:00:00"/>
    <s v="Customer 008"/>
    <x v="3"/>
    <x v="3"/>
    <s v="P103"/>
    <n v="10"/>
    <n v="12000"/>
    <n v="0"/>
    <x v="1"/>
    <x v="1"/>
    <n v="9000"/>
    <n v="120000"/>
    <n v="90000"/>
    <n v="30000"/>
    <x v="1"/>
  </r>
  <r>
    <x v="210"/>
    <d v="2025-05-01T00:00:00"/>
    <s v="Customer 051"/>
    <x v="0"/>
    <x v="0"/>
    <s v="P105"/>
    <n v="13"/>
    <n v="900"/>
    <n v="0.15"/>
    <x v="4"/>
    <x v="0"/>
    <n v="600"/>
    <n v="9945"/>
    <n v="7800"/>
    <n v="2145"/>
    <x v="8"/>
  </r>
  <r>
    <x v="211"/>
    <d v="2025-05-13T00:00:00"/>
    <s v="Customer 039"/>
    <x v="0"/>
    <x v="7"/>
    <s v="P104"/>
    <n v="14"/>
    <n v="8000"/>
    <n v="0.1"/>
    <x v="6"/>
    <x v="1"/>
    <n v="6200"/>
    <n v="100800"/>
    <n v="86800"/>
    <n v="14000"/>
    <x v="8"/>
  </r>
  <r>
    <x v="212"/>
    <d v="2025-05-14T00:00:00"/>
    <s v="Customer 004"/>
    <x v="1"/>
    <x v="5"/>
    <s v="P104"/>
    <n v="10"/>
    <n v="8000"/>
    <n v="0.15"/>
    <x v="6"/>
    <x v="1"/>
    <n v="6200"/>
    <n v="68000"/>
    <n v="62000"/>
    <n v="6000"/>
    <x v="8"/>
  </r>
  <r>
    <x v="213"/>
    <d v="2025-04-03T00:00:00"/>
    <s v="Customer 039"/>
    <x v="3"/>
    <x v="3"/>
    <s v="P103"/>
    <n v="10"/>
    <n v="12000"/>
    <n v="0"/>
    <x v="1"/>
    <x v="1"/>
    <n v="9000"/>
    <n v="120000"/>
    <n v="90000"/>
    <n v="30000"/>
    <x v="6"/>
  </r>
  <r>
    <x v="214"/>
    <d v="2025-08-11T00:00:00"/>
    <s v="Customer 005"/>
    <x v="0"/>
    <x v="0"/>
    <s v="P105"/>
    <n v="14"/>
    <n v="900"/>
    <n v="0"/>
    <x v="4"/>
    <x v="0"/>
    <n v="600"/>
    <n v="12600"/>
    <n v="8400"/>
    <n v="4200"/>
    <x v="0"/>
  </r>
  <r>
    <x v="215"/>
    <d v="2025-04-02T00:00:00"/>
    <s v="Customer 028"/>
    <x v="2"/>
    <x v="2"/>
    <s v="P103"/>
    <n v="1"/>
    <n v="12000"/>
    <n v="0"/>
    <x v="1"/>
    <x v="1"/>
    <n v="9000"/>
    <n v="12000"/>
    <n v="9000"/>
    <n v="3000"/>
    <x v="6"/>
  </r>
  <r>
    <x v="216"/>
    <d v="2025-12-23T00:00:00"/>
    <s v="Customer 032"/>
    <x v="3"/>
    <x v="6"/>
    <s v="P105"/>
    <n v="13"/>
    <n v="900"/>
    <n v="0.1"/>
    <x v="4"/>
    <x v="0"/>
    <n v="600"/>
    <n v="10530"/>
    <n v="7800"/>
    <n v="2730"/>
    <x v="11"/>
  </r>
  <r>
    <x v="217"/>
    <d v="2025-11-29T00:00:00"/>
    <s v="Customer 011"/>
    <x v="2"/>
    <x v="4"/>
    <s v="P107"/>
    <n v="5"/>
    <n v="2000"/>
    <n v="0"/>
    <x v="2"/>
    <x v="0"/>
    <n v="1300"/>
    <n v="10000"/>
    <n v="6500"/>
    <n v="3500"/>
    <x v="3"/>
  </r>
  <r>
    <x v="218"/>
    <d v="2025-12-20T00:00:00"/>
    <s v="Customer 030"/>
    <x v="0"/>
    <x v="7"/>
    <s v="P101"/>
    <n v="6"/>
    <n v="55000"/>
    <n v="0.05"/>
    <x v="5"/>
    <x v="1"/>
    <n v="41000"/>
    <n v="313500"/>
    <n v="246000"/>
    <n v="67500"/>
    <x v="11"/>
  </r>
  <r>
    <x v="219"/>
    <d v="2025-12-24T00:00:00"/>
    <s v="Customer 049"/>
    <x v="2"/>
    <x v="2"/>
    <s v="P101"/>
    <n v="3"/>
    <n v="55000"/>
    <n v="0.05"/>
    <x v="5"/>
    <x v="1"/>
    <n v="41000"/>
    <n v="156750"/>
    <n v="123000"/>
    <n v="33750"/>
    <x v="11"/>
  </r>
  <r>
    <x v="220"/>
    <d v="2025-03-16T00:00:00"/>
    <s v="Customer 027"/>
    <x v="0"/>
    <x v="0"/>
    <s v="P101"/>
    <n v="1"/>
    <n v="55000"/>
    <n v="0"/>
    <x v="5"/>
    <x v="1"/>
    <n v="41000"/>
    <n v="55000"/>
    <n v="41000"/>
    <n v="14000"/>
    <x v="7"/>
  </r>
  <r>
    <x v="221"/>
    <d v="2025-02-16T00:00:00"/>
    <s v="Customer 060"/>
    <x v="0"/>
    <x v="0"/>
    <s v="P105"/>
    <n v="8"/>
    <n v="900"/>
    <n v="0.05"/>
    <x v="4"/>
    <x v="0"/>
    <n v="600"/>
    <n v="6840"/>
    <n v="4800"/>
    <n v="2040"/>
    <x v="2"/>
  </r>
  <r>
    <x v="222"/>
    <d v="2025-01-18T00:00:00"/>
    <s v="Customer 036"/>
    <x v="2"/>
    <x v="2"/>
    <s v="P105"/>
    <n v="5"/>
    <n v="900"/>
    <n v="0"/>
    <x v="4"/>
    <x v="0"/>
    <n v="600"/>
    <n v="4500"/>
    <n v="3000"/>
    <n v="1500"/>
    <x v="9"/>
  </r>
  <r>
    <x v="223"/>
    <d v="2025-08-03T00:00:00"/>
    <s v="Customer 024"/>
    <x v="0"/>
    <x v="7"/>
    <s v="P102"/>
    <n v="15"/>
    <n v="18000"/>
    <n v="0"/>
    <x v="3"/>
    <x v="1"/>
    <n v="13500"/>
    <n v="270000"/>
    <n v="202500"/>
    <n v="67500"/>
    <x v="0"/>
  </r>
  <r>
    <x v="224"/>
    <d v="2025-06-22T00:00:00"/>
    <s v="Customer 038"/>
    <x v="2"/>
    <x v="2"/>
    <s v="P101"/>
    <n v="3"/>
    <n v="55000"/>
    <n v="0.05"/>
    <x v="5"/>
    <x v="1"/>
    <n v="41000"/>
    <n v="156750"/>
    <n v="123000"/>
    <n v="33750"/>
    <x v="4"/>
  </r>
  <r>
    <x v="225"/>
    <d v="2025-06-25T00:00:00"/>
    <s v="Customer 060"/>
    <x v="2"/>
    <x v="2"/>
    <s v="P108"/>
    <n v="14"/>
    <n v="1500"/>
    <n v="0.05"/>
    <x v="0"/>
    <x v="0"/>
    <n v="980"/>
    <n v="19950"/>
    <n v="13720"/>
    <n v="6230"/>
    <x v="4"/>
  </r>
  <r>
    <x v="226"/>
    <d v="2025-07-15T00:00:00"/>
    <s v="Customer 023"/>
    <x v="0"/>
    <x v="0"/>
    <s v="P101"/>
    <n v="4"/>
    <n v="55000"/>
    <n v="0.05"/>
    <x v="5"/>
    <x v="1"/>
    <n v="41000"/>
    <n v="209000"/>
    <n v="164000"/>
    <n v="45000"/>
    <x v="5"/>
  </r>
  <r>
    <x v="227"/>
    <d v="2025-04-05T00:00:00"/>
    <s v="Customer 014"/>
    <x v="2"/>
    <x v="4"/>
    <s v="P108"/>
    <n v="4"/>
    <n v="1500"/>
    <n v="0.05"/>
    <x v="0"/>
    <x v="0"/>
    <n v="980"/>
    <n v="5700"/>
    <n v="3920"/>
    <n v="1780"/>
    <x v="6"/>
  </r>
  <r>
    <x v="228"/>
    <d v="2025-06-07T00:00:00"/>
    <s v="Customer 044"/>
    <x v="0"/>
    <x v="0"/>
    <s v="P108"/>
    <n v="8"/>
    <n v="1500"/>
    <n v="0.15"/>
    <x v="0"/>
    <x v="0"/>
    <n v="980"/>
    <n v="10200"/>
    <n v="7840"/>
    <n v="2360"/>
    <x v="4"/>
  </r>
  <r>
    <x v="229"/>
    <d v="2025-09-07T00:00:00"/>
    <s v="Customer 004"/>
    <x v="2"/>
    <x v="4"/>
    <s v="P107"/>
    <n v="7"/>
    <n v="2000"/>
    <n v="0"/>
    <x v="2"/>
    <x v="0"/>
    <n v="1300"/>
    <n v="14000"/>
    <n v="9100"/>
    <n v="4900"/>
    <x v="1"/>
  </r>
  <r>
    <x v="230"/>
    <d v="2025-07-05T00:00:00"/>
    <s v="Customer 048"/>
    <x v="3"/>
    <x v="3"/>
    <s v="P101"/>
    <n v="9"/>
    <n v="55000"/>
    <n v="0"/>
    <x v="5"/>
    <x v="1"/>
    <n v="41000"/>
    <n v="495000"/>
    <n v="369000"/>
    <n v="126000"/>
    <x v="5"/>
  </r>
  <r>
    <x v="231"/>
    <d v="2025-09-20T00:00:00"/>
    <s v="Customer 024"/>
    <x v="0"/>
    <x v="0"/>
    <s v="P104"/>
    <n v="5"/>
    <n v="8000"/>
    <n v="0"/>
    <x v="6"/>
    <x v="1"/>
    <n v="6200"/>
    <n v="40000"/>
    <n v="31000"/>
    <n v="9000"/>
    <x v="1"/>
  </r>
  <r>
    <x v="232"/>
    <d v="2025-03-20T00:00:00"/>
    <s v="Customer 047"/>
    <x v="3"/>
    <x v="6"/>
    <s v="P103"/>
    <n v="13"/>
    <n v="12000"/>
    <n v="0"/>
    <x v="1"/>
    <x v="1"/>
    <n v="9000"/>
    <n v="156000"/>
    <n v="117000"/>
    <n v="39000"/>
    <x v="7"/>
  </r>
  <r>
    <x v="233"/>
    <d v="2025-01-11T00:00:00"/>
    <s v="Customer 055"/>
    <x v="3"/>
    <x v="3"/>
    <s v="P107"/>
    <n v="8"/>
    <n v="2000"/>
    <n v="0"/>
    <x v="2"/>
    <x v="0"/>
    <n v="1300"/>
    <n v="16000"/>
    <n v="10400"/>
    <n v="5600"/>
    <x v="9"/>
  </r>
  <r>
    <x v="234"/>
    <d v="2025-06-16T00:00:00"/>
    <s v="Customer 039"/>
    <x v="3"/>
    <x v="6"/>
    <s v="P101"/>
    <n v="5"/>
    <n v="55000"/>
    <n v="0.05"/>
    <x v="5"/>
    <x v="1"/>
    <n v="41000"/>
    <n v="261250"/>
    <n v="205000"/>
    <n v="56250"/>
    <x v="4"/>
  </r>
  <r>
    <x v="235"/>
    <d v="2025-09-08T00:00:00"/>
    <s v="Customer 039"/>
    <x v="1"/>
    <x v="1"/>
    <s v="P104"/>
    <n v="3"/>
    <n v="8000"/>
    <n v="0.1"/>
    <x v="6"/>
    <x v="1"/>
    <n v="6200"/>
    <n v="21600"/>
    <n v="18600"/>
    <n v="3000"/>
    <x v="1"/>
  </r>
  <r>
    <x v="236"/>
    <d v="2025-01-17T00:00:00"/>
    <s v="Customer 031"/>
    <x v="2"/>
    <x v="2"/>
    <s v="P105"/>
    <n v="7"/>
    <n v="900"/>
    <n v="0.05"/>
    <x v="4"/>
    <x v="0"/>
    <n v="600"/>
    <n v="5985"/>
    <n v="4200"/>
    <n v="1785"/>
    <x v="9"/>
  </r>
  <r>
    <x v="237"/>
    <d v="2025-09-22T00:00:00"/>
    <s v="Customer 043"/>
    <x v="3"/>
    <x v="3"/>
    <s v="P106"/>
    <n v="12"/>
    <n v="500"/>
    <n v="0.05"/>
    <x v="7"/>
    <x v="0"/>
    <n v="320"/>
    <n v="5700"/>
    <n v="3840"/>
    <n v="1860"/>
    <x v="1"/>
  </r>
  <r>
    <x v="238"/>
    <d v="2025-03-17T00:00:00"/>
    <s v="Customer 029"/>
    <x v="2"/>
    <x v="4"/>
    <s v="P105"/>
    <n v="9"/>
    <n v="900"/>
    <n v="0.15"/>
    <x v="4"/>
    <x v="0"/>
    <n v="600"/>
    <n v="6885"/>
    <n v="5400"/>
    <n v="1485"/>
    <x v="7"/>
  </r>
  <r>
    <x v="239"/>
    <d v="2025-03-11T00:00:00"/>
    <s v="Customer 019"/>
    <x v="0"/>
    <x v="7"/>
    <s v="P106"/>
    <n v="4"/>
    <n v="500"/>
    <n v="0"/>
    <x v="7"/>
    <x v="0"/>
    <n v="320"/>
    <n v="2000"/>
    <n v="1280"/>
    <n v="720"/>
    <x v="7"/>
  </r>
  <r>
    <x v="240"/>
    <d v="2025-06-26T00:00:00"/>
    <s v="Customer 048"/>
    <x v="2"/>
    <x v="4"/>
    <s v="P103"/>
    <n v="1"/>
    <n v="12000"/>
    <n v="0"/>
    <x v="1"/>
    <x v="1"/>
    <n v="9000"/>
    <n v="12000"/>
    <n v="9000"/>
    <n v="3000"/>
    <x v="4"/>
  </r>
  <r>
    <x v="241"/>
    <d v="2025-10-17T00:00:00"/>
    <s v="Customer 005"/>
    <x v="1"/>
    <x v="1"/>
    <s v="P105"/>
    <n v="11"/>
    <n v="900"/>
    <n v="0.15"/>
    <x v="4"/>
    <x v="0"/>
    <n v="600"/>
    <n v="8415"/>
    <n v="6600"/>
    <n v="1815"/>
    <x v="10"/>
  </r>
  <r>
    <x v="242"/>
    <d v="2025-10-13T00:00:00"/>
    <s v="Customer 016"/>
    <x v="3"/>
    <x v="3"/>
    <s v="P102"/>
    <n v="13"/>
    <n v="18000"/>
    <n v="0"/>
    <x v="3"/>
    <x v="1"/>
    <n v="13500"/>
    <n v="234000"/>
    <n v="175500"/>
    <n v="58500"/>
    <x v="10"/>
  </r>
  <r>
    <x v="243"/>
    <d v="2025-02-16T00:00:00"/>
    <s v="Customer 004"/>
    <x v="0"/>
    <x v="7"/>
    <s v="P102"/>
    <n v="7"/>
    <n v="18000"/>
    <n v="0.05"/>
    <x v="3"/>
    <x v="1"/>
    <n v="13500"/>
    <n v="119700"/>
    <n v="94500"/>
    <n v="25200"/>
    <x v="2"/>
  </r>
  <r>
    <x v="244"/>
    <d v="2025-07-16T00:00:00"/>
    <s v="Customer 018"/>
    <x v="3"/>
    <x v="6"/>
    <s v="P105"/>
    <n v="8"/>
    <n v="900"/>
    <n v="0.15"/>
    <x v="4"/>
    <x v="0"/>
    <n v="600"/>
    <n v="6120"/>
    <n v="4800"/>
    <n v="1320"/>
    <x v="5"/>
  </r>
  <r>
    <x v="245"/>
    <d v="2025-03-23T00:00:00"/>
    <s v="Customer 023"/>
    <x v="0"/>
    <x v="0"/>
    <s v="P104"/>
    <n v="8"/>
    <n v="8000"/>
    <n v="0"/>
    <x v="6"/>
    <x v="1"/>
    <n v="6200"/>
    <n v="64000"/>
    <n v="49600"/>
    <n v="14400"/>
    <x v="7"/>
  </r>
  <r>
    <x v="246"/>
    <d v="2025-09-24T00:00:00"/>
    <s v="Customer 052"/>
    <x v="1"/>
    <x v="1"/>
    <s v="P106"/>
    <n v="15"/>
    <n v="500"/>
    <n v="0.05"/>
    <x v="7"/>
    <x v="0"/>
    <n v="320"/>
    <n v="7125"/>
    <n v="4800"/>
    <n v="2325"/>
    <x v="1"/>
  </r>
  <r>
    <x v="247"/>
    <d v="2025-09-02T00:00:00"/>
    <s v="Customer 058"/>
    <x v="3"/>
    <x v="3"/>
    <s v="P105"/>
    <n v="12"/>
    <n v="900"/>
    <n v="0"/>
    <x v="4"/>
    <x v="0"/>
    <n v="600"/>
    <n v="10800"/>
    <n v="7200"/>
    <n v="3600"/>
    <x v="1"/>
  </r>
  <r>
    <x v="248"/>
    <d v="2025-03-03T00:00:00"/>
    <s v="Customer 018"/>
    <x v="3"/>
    <x v="6"/>
    <s v="P102"/>
    <n v="15"/>
    <n v="18000"/>
    <n v="0.05"/>
    <x v="3"/>
    <x v="1"/>
    <n v="13500"/>
    <n v="256500"/>
    <n v="202500"/>
    <n v="54000"/>
    <x v="7"/>
  </r>
  <r>
    <x v="249"/>
    <d v="2025-07-13T00:00:00"/>
    <s v="Customer 021"/>
    <x v="0"/>
    <x v="7"/>
    <s v="P105"/>
    <n v="8"/>
    <n v="900"/>
    <n v="0.15"/>
    <x v="4"/>
    <x v="0"/>
    <n v="600"/>
    <n v="6120"/>
    <n v="4800"/>
    <n v="1320"/>
    <x v="5"/>
  </r>
  <r>
    <x v="250"/>
    <d v="2025-02-07T00:00:00"/>
    <s v="Customer 058"/>
    <x v="1"/>
    <x v="5"/>
    <s v="P101"/>
    <n v="6"/>
    <n v="55000"/>
    <n v="0"/>
    <x v="5"/>
    <x v="1"/>
    <n v="41000"/>
    <n v="330000"/>
    <n v="246000"/>
    <n v="84000"/>
    <x v="2"/>
  </r>
  <r>
    <x v="251"/>
    <d v="2025-10-17T00:00:00"/>
    <s v="Customer 057"/>
    <x v="3"/>
    <x v="6"/>
    <s v="P105"/>
    <n v="14"/>
    <n v="900"/>
    <n v="0.15"/>
    <x v="4"/>
    <x v="0"/>
    <n v="600"/>
    <n v="10710"/>
    <n v="8400"/>
    <n v="2310"/>
    <x v="10"/>
  </r>
  <r>
    <x v="252"/>
    <d v="2025-11-25T00:00:00"/>
    <s v="Customer 058"/>
    <x v="0"/>
    <x v="7"/>
    <s v="P107"/>
    <n v="10"/>
    <n v="2000"/>
    <n v="0"/>
    <x v="2"/>
    <x v="0"/>
    <n v="1300"/>
    <n v="20000"/>
    <n v="13000"/>
    <n v="7000"/>
    <x v="3"/>
  </r>
  <r>
    <x v="253"/>
    <d v="2025-01-16T00:00:00"/>
    <s v="Customer 040"/>
    <x v="2"/>
    <x v="4"/>
    <s v="P102"/>
    <n v="11"/>
    <n v="18000"/>
    <n v="0"/>
    <x v="3"/>
    <x v="1"/>
    <n v="13500"/>
    <n v="198000"/>
    <n v="148500"/>
    <n v="49500"/>
    <x v="9"/>
  </r>
  <r>
    <x v="254"/>
    <d v="2025-11-10T00:00:00"/>
    <s v="Customer 054"/>
    <x v="0"/>
    <x v="7"/>
    <s v="P102"/>
    <n v="5"/>
    <n v="18000"/>
    <n v="0"/>
    <x v="3"/>
    <x v="1"/>
    <n v="13500"/>
    <n v="90000"/>
    <n v="67500"/>
    <n v="22500"/>
    <x v="3"/>
  </r>
  <r>
    <x v="255"/>
    <d v="2025-06-08T00:00:00"/>
    <s v="Customer 010"/>
    <x v="0"/>
    <x v="0"/>
    <s v="P106"/>
    <n v="8"/>
    <n v="500"/>
    <n v="0"/>
    <x v="7"/>
    <x v="0"/>
    <n v="320"/>
    <n v="4000"/>
    <n v="2560"/>
    <n v="1440"/>
    <x v="4"/>
  </r>
  <r>
    <x v="256"/>
    <d v="2025-05-19T00:00:00"/>
    <s v="Customer 016"/>
    <x v="2"/>
    <x v="2"/>
    <s v="P105"/>
    <n v="11"/>
    <n v="900"/>
    <n v="0"/>
    <x v="4"/>
    <x v="0"/>
    <n v="600"/>
    <n v="9900"/>
    <n v="6600"/>
    <n v="3300"/>
    <x v="8"/>
  </r>
  <r>
    <x v="257"/>
    <d v="2025-10-06T00:00:00"/>
    <s v="Customer 032"/>
    <x v="0"/>
    <x v="0"/>
    <s v="P101"/>
    <n v="4"/>
    <n v="55000"/>
    <n v="0.1"/>
    <x v="5"/>
    <x v="1"/>
    <n v="41000"/>
    <n v="198000"/>
    <n v="164000"/>
    <n v="34000"/>
    <x v="10"/>
  </r>
  <r>
    <x v="258"/>
    <d v="2025-11-16T00:00:00"/>
    <s v="Customer 057"/>
    <x v="3"/>
    <x v="6"/>
    <s v="P105"/>
    <n v="6"/>
    <n v="900"/>
    <n v="0"/>
    <x v="4"/>
    <x v="0"/>
    <n v="600"/>
    <n v="5400"/>
    <n v="3600"/>
    <n v="1800"/>
    <x v="3"/>
  </r>
  <r>
    <x v="259"/>
    <d v="2025-06-10T00:00:00"/>
    <s v="Customer 013"/>
    <x v="2"/>
    <x v="2"/>
    <s v="P107"/>
    <n v="11"/>
    <n v="2000"/>
    <n v="0"/>
    <x v="2"/>
    <x v="0"/>
    <n v="1300"/>
    <n v="22000"/>
    <n v="14300"/>
    <n v="7700"/>
    <x v="4"/>
  </r>
  <r>
    <x v="260"/>
    <d v="2025-03-23T00:00:00"/>
    <s v="Customer 019"/>
    <x v="3"/>
    <x v="3"/>
    <s v="P108"/>
    <n v="13"/>
    <n v="1500"/>
    <n v="0.1"/>
    <x v="0"/>
    <x v="0"/>
    <n v="980"/>
    <n v="17550"/>
    <n v="12740"/>
    <n v="4810"/>
    <x v="7"/>
  </r>
  <r>
    <x v="261"/>
    <d v="2025-08-01T00:00:00"/>
    <s v="Customer 035"/>
    <x v="3"/>
    <x v="3"/>
    <s v="P106"/>
    <n v="12"/>
    <n v="500"/>
    <n v="0.15"/>
    <x v="7"/>
    <x v="0"/>
    <n v="320"/>
    <n v="5100"/>
    <n v="3840"/>
    <n v="1260"/>
    <x v="0"/>
  </r>
  <r>
    <x v="262"/>
    <d v="2025-05-02T00:00:00"/>
    <s v="Customer 012"/>
    <x v="2"/>
    <x v="2"/>
    <s v="P106"/>
    <n v="6"/>
    <n v="500"/>
    <n v="0.15"/>
    <x v="7"/>
    <x v="0"/>
    <n v="320"/>
    <n v="2550"/>
    <n v="1920"/>
    <n v="630"/>
    <x v="8"/>
  </r>
  <r>
    <x v="263"/>
    <d v="2025-02-02T00:00:00"/>
    <s v="Customer 020"/>
    <x v="1"/>
    <x v="1"/>
    <s v="P102"/>
    <n v="15"/>
    <n v="18000"/>
    <n v="0.15"/>
    <x v="3"/>
    <x v="1"/>
    <n v="13500"/>
    <n v="229500"/>
    <n v="202500"/>
    <n v="27000"/>
    <x v="2"/>
  </r>
  <r>
    <x v="264"/>
    <d v="2025-08-20T00:00:00"/>
    <s v="Customer 056"/>
    <x v="0"/>
    <x v="7"/>
    <s v="P101"/>
    <n v="3"/>
    <n v="55000"/>
    <n v="0.1"/>
    <x v="5"/>
    <x v="1"/>
    <n v="41000"/>
    <n v="148500"/>
    <n v="123000"/>
    <n v="25500"/>
    <x v="0"/>
  </r>
  <r>
    <x v="265"/>
    <d v="2025-09-04T00:00:00"/>
    <s v="Customer 033"/>
    <x v="1"/>
    <x v="5"/>
    <s v="P106"/>
    <n v="5"/>
    <n v="500"/>
    <n v="0.05"/>
    <x v="7"/>
    <x v="0"/>
    <n v="320"/>
    <n v="2375"/>
    <n v="1600"/>
    <n v="775"/>
    <x v="1"/>
  </r>
  <r>
    <x v="266"/>
    <d v="2025-05-10T00:00:00"/>
    <s v="Customer 021"/>
    <x v="3"/>
    <x v="6"/>
    <s v="P106"/>
    <n v="12"/>
    <n v="500"/>
    <n v="0.15"/>
    <x v="7"/>
    <x v="0"/>
    <n v="320"/>
    <n v="5100"/>
    <n v="3840"/>
    <n v="1260"/>
    <x v="8"/>
  </r>
  <r>
    <x v="267"/>
    <d v="2025-06-20T00:00:00"/>
    <s v="Customer 042"/>
    <x v="2"/>
    <x v="2"/>
    <s v="P103"/>
    <n v="10"/>
    <n v="12000"/>
    <n v="0.05"/>
    <x v="1"/>
    <x v="1"/>
    <n v="9000"/>
    <n v="114000"/>
    <n v="90000"/>
    <n v="24000"/>
    <x v="4"/>
  </r>
  <r>
    <x v="268"/>
    <d v="2025-11-15T00:00:00"/>
    <s v="Customer 025"/>
    <x v="3"/>
    <x v="3"/>
    <s v="P103"/>
    <n v="3"/>
    <n v="12000"/>
    <n v="0"/>
    <x v="1"/>
    <x v="1"/>
    <n v="9000"/>
    <n v="36000"/>
    <n v="27000"/>
    <n v="9000"/>
    <x v="3"/>
  </r>
  <r>
    <x v="269"/>
    <d v="2025-04-29T00:00:00"/>
    <s v="Customer 045"/>
    <x v="2"/>
    <x v="2"/>
    <s v="P101"/>
    <n v="8"/>
    <n v="55000"/>
    <n v="0.1"/>
    <x v="5"/>
    <x v="1"/>
    <n v="41000"/>
    <n v="396000"/>
    <n v="328000"/>
    <n v="68000"/>
    <x v="6"/>
  </r>
  <r>
    <x v="270"/>
    <d v="2025-05-18T00:00:00"/>
    <s v="Customer 043"/>
    <x v="3"/>
    <x v="3"/>
    <s v="P107"/>
    <n v="5"/>
    <n v="2000"/>
    <n v="0.15"/>
    <x v="2"/>
    <x v="0"/>
    <n v="1300"/>
    <n v="8500"/>
    <n v="6500"/>
    <n v="2000"/>
    <x v="8"/>
  </r>
  <r>
    <x v="271"/>
    <d v="2025-07-17T00:00:00"/>
    <s v="Customer 008"/>
    <x v="2"/>
    <x v="2"/>
    <s v="P101"/>
    <n v="3"/>
    <n v="55000"/>
    <n v="0.15"/>
    <x v="5"/>
    <x v="1"/>
    <n v="41000"/>
    <n v="140250"/>
    <n v="123000"/>
    <n v="17250"/>
    <x v="5"/>
  </r>
  <r>
    <x v="272"/>
    <d v="2025-04-10T00:00:00"/>
    <s v="Customer 052"/>
    <x v="3"/>
    <x v="6"/>
    <s v="P106"/>
    <n v="12"/>
    <n v="500"/>
    <n v="0.1"/>
    <x v="7"/>
    <x v="0"/>
    <n v="320"/>
    <n v="5400"/>
    <n v="3840"/>
    <n v="1560"/>
    <x v="6"/>
  </r>
  <r>
    <x v="273"/>
    <d v="2025-07-27T00:00:00"/>
    <s v="Customer 055"/>
    <x v="3"/>
    <x v="3"/>
    <s v="P101"/>
    <n v="14"/>
    <n v="55000"/>
    <n v="0.1"/>
    <x v="5"/>
    <x v="1"/>
    <n v="41000"/>
    <n v="693000"/>
    <n v="574000"/>
    <n v="119000"/>
    <x v="5"/>
  </r>
  <r>
    <x v="274"/>
    <d v="2025-03-29T00:00:00"/>
    <s v="Customer 052"/>
    <x v="3"/>
    <x v="3"/>
    <s v="P102"/>
    <n v="5"/>
    <n v="18000"/>
    <n v="0.05"/>
    <x v="3"/>
    <x v="1"/>
    <n v="13500"/>
    <n v="85500"/>
    <n v="67500"/>
    <n v="18000"/>
    <x v="7"/>
  </r>
  <r>
    <x v="275"/>
    <d v="2025-04-25T00:00:00"/>
    <s v="Customer 037"/>
    <x v="0"/>
    <x v="7"/>
    <s v="P107"/>
    <n v="13"/>
    <n v="2000"/>
    <n v="0"/>
    <x v="2"/>
    <x v="0"/>
    <n v="1300"/>
    <n v="26000"/>
    <n v="16900"/>
    <n v="9100"/>
    <x v="6"/>
  </r>
  <r>
    <x v="276"/>
    <d v="2025-12-12T00:00:00"/>
    <s v="Customer 029"/>
    <x v="2"/>
    <x v="2"/>
    <s v="P105"/>
    <n v="13"/>
    <n v="900"/>
    <n v="0"/>
    <x v="4"/>
    <x v="0"/>
    <n v="600"/>
    <n v="11700"/>
    <n v="7800"/>
    <n v="3900"/>
    <x v="11"/>
  </r>
  <r>
    <x v="277"/>
    <d v="2025-02-24T00:00:00"/>
    <s v="Customer 010"/>
    <x v="3"/>
    <x v="3"/>
    <s v="P108"/>
    <n v="7"/>
    <n v="1500"/>
    <n v="0"/>
    <x v="0"/>
    <x v="0"/>
    <n v="980"/>
    <n v="10500"/>
    <n v="6860"/>
    <n v="3640"/>
    <x v="2"/>
  </r>
  <r>
    <x v="278"/>
    <d v="2025-01-10T00:00:00"/>
    <s v="Customer 026"/>
    <x v="3"/>
    <x v="3"/>
    <s v="P103"/>
    <n v="5"/>
    <n v="12000"/>
    <n v="0.15"/>
    <x v="1"/>
    <x v="1"/>
    <n v="9000"/>
    <n v="51000"/>
    <n v="45000"/>
    <n v="6000"/>
    <x v="9"/>
  </r>
  <r>
    <x v="279"/>
    <d v="2025-06-14T00:00:00"/>
    <s v="Customer 024"/>
    <x v="2"/>
    <x v="4"/>
    <s v="P102"/>
    <n v="8"/>
    <n v="18000"/>
    <n v="0"/>
    <x v="3"/>
    <x v="1"/>
    <n v="13500"/>
    <n v="144000"/>
    <n v="108000"/>
    <n v="36000"/>
    <x v="4"/>
  </r>
  <r>
    <x v="280"/>
    <d v="2025-10-14T00:00:00"/>
    <s v="Customer 058"/>
    <x v="1"/>
    <x v="5"/>
    <s v="P103"/>
    <n v="2"/>
    <n v="12000"/>
    <n v="0"/>
    <x v="1"/>
    <x v="1"/>
    <n v="9000"/>
    <n v="24000"/>
    <n v="18000"/>
    <n v="6000"/>
    <x v="10"/>
  </r>
  <r>
    <x v="281"/>
    <d v="2025-12-10T00:00:00"/>
    <s v="Customer 031"/>
    <x v="1"/>
    <x v="1"/>
    <s v="P101"/>
    <n v="3"/>
    <n v="55000"/>
    <n v="0"/>
    <x v="5"/>
    <x v="1"/>
    <n v="41000"/>
    <n v="165000"/>
    <n v="123000"/>
    <n v="42000"/>
    <x v="11"/>
  </r>
  <r>
    <x v="282"/>
    <d v="2025-04-14T00:00:00"/>
    <s v="Customer 023"/>
    <x v="0"/>
    <x v="7"/>
    <s v="P108"/>
    <n v="1"/>
    <n v="1500"/>
    <n v="0.05"/>
    <x v="0"/>
    <x v="0"/>
    <n v="980"/>
    <n v="1425"/>
    <n v="980"/>
    <n v="445"/>
    <x v="6"/>
  </r>
  <r>
    <x v="283"/>
    <d v="2025-05-22T00:00:00"/>
    <s v="Customer 052"/>
    <x v="2"/>
    <x v="4"/>
    <s v="P105"/>
    <n v="14"/>
    <n v="900"/>
    <n v="0"/>
    <x v="4"/>
    <x v="0"/>
    <n v="600"/>
    <n v="12600"/>
    <n v="8400"/>
    <n v="4200"/>
    <x v="8"/>
  </r>
  <r>
    <x v="284"/>
    <d v="2025-10-20T00:00:00"/>
    <s v="Customer 011"/>
    <x v="1"/>
    <x v="1"/>
    <s v="P103"/>
    <n v="14"/>
    <n v="12000"/>
    <n v="0"/>
    <x v="1"/>
    <x v="1"/>
    <n v="9000"/>
    <n v="168000"/>
    <n v="126000"/>
    <n v="42000"/>
    <x v="10"/>
  </r>
  <r>
    <x v="285"/>
    <d v="2025-12-12T00:00:00"/>
    <s v="Customer 049"/>
    <x v="1"/>
    <x v="5"/>
    <s v="P105"/>
    <n v="6"/>
    <n v="900"/>
    <n v="0"/>
    <x v="4"/>
    <x v="0"/>
    <n v="600"/>
    <n v="5400"/>
    <n v="3600"/>
    <n v="1800"/>
    <x v="11"/>
  </r>
  <r>
    <x v="286"/>
    <d v="2025-02-02T00:00:00"/>
    <s v="Customer 005"/>
    <x v="0"/>
    <x v="7"/>
    <s v="P101"/>
    <n v="15"/>
    <n v="55000"/>
    <n v="0"/>
    <x v="5"/>
    <x v="1"/>
    <n v="41000"/>
    <n v="825000"/>
    <n v="615000"/>
    <n v="210000"/>
    <x v="2"/>
  </r>
  <r>
    <x v="287"/>
    <d v="2025-01-06T00:00:00"/>
    <s v="Customer 032"/>
    <x v="3"/>
    <x v="3"/>
    <s v="P104"/>
    <n v="13"/>
    <n v="8000"/>
    <n v="0.15"/>
    <x v="6"/>
    <x v="1"/>
    <n v="6200"/>
    <n v="88400"/>
    <n v="80600"/>
    <n v="7800"/>
    <x v="9"/>
  </r>
  <r>
    <x v="288"/>
    <d v="2025-06-07T00:00:00"/>
    <s v="Customer 027"/>
    <x v="1"/>
    <x v="5"/>
    <s v="P108"/>
    <n v="7"/>
    <n v="1500"/>
    <n v="0.15"/>
    <x v="0"/>
    <x v="0"/>
    <n v="980"/>
    <n v="8925"/>
    <n v="6860"/>
    <n v="2065"/>
    <x v="4"/>
  </r>
  <r>
    <x v="289"/>
    <d v="2025-11-16T00:00:00"/>
    <s v="Customer 015"/>
    <x v="1"/>
    <x v="5"/>
    <s v="P101"/>
    <n v="10"/>
    <n v="55000"/>
    <n v="0"/>
    <x v="5"/>
    <x v="1"/>
    <n v="41000"/>
    <n v="550000"/>
    <n v="410000"/>
    <n v="140000"/>
    <x v="3"/>
  </r>
  <r>
    <x v="290"/>
    <d v="2025-07-18T00:00:00"/>
    <s v="Customer 041"/>
    <x v="3"/>
    <x v="3"/>
    <s v="P105"/>
    <n v="13"/>
    <n v="900"/>
    <n v="0"/>
    <x v="4"/>
    <x v="0"/>
    <n v="600"/>
    <n v="11700"/>
    <n v="7800"/>
    <n v="3900"/>
    <x v="5"/>
  </r>
  <r>
    <x v="291"/>
    <d v="2025-07-01T00:00:00"/>
    <s v="Customer 021"/>
    <x v="3"/>
    <x v="6"/>
    <s v="P105"/>
    <n v="2"/>
    <n v="900"/>
    <n v="0.15"/>
    <x v="4"/>
    <x v="0"/>
    <n v="600"/>
    <n v="1530"/>
    <n v="1200"/>
    <n v="330"/>
    <x v="5"/>
  </r>
  <r>
    <x v="292"/>
    <d v="2025-05-16T00:00:00"/>
    <s v="Customer 014"/>
    <x v="3"/>
    <x v="6"/>
    <s v="P104"/>
    <n v="12"/>
    <n v="8000"/>
    <n v="0"/>
    <x v="6"/>
    <x v="1"/>
    <n v="6200"/>
    <n v="96000"/>
    <n v="74400"/>
    <n v="21600"/>
    <x v="8"/>
  </r>
  <r>
    <x v="293"/>
    <d v="2025-03-08T00:00:00"/>
    <s v="Customer 007"/>
    <x v="3"/>
    <x v="6"/>
    <s v="P104"/>
    <n v="3"/>
    <n v="8000"/>
    <n v="0"/>
    <x v="6"/>
    <x v="1"/>
    <n v="6200"/>
    <n v="24000"/>
    <n v="18600"/>
    <n v="5400"/>
    <x v="7"/>
  </r>
  <r>
    <x v="294"/>
    <d v="2025-03-15T00:00:00"/>
    <s v="Customer 002"/>
    <x v="3"/>
    <x v="6"/>
    <s v="P106"/>
    <n v="3"/>
    <n v="500"/>
    <n v="0.05"/>
    <x v="7"/>
    <x v="0"/>
    <n v="320"/>
    <n v="1425"/>
    <n v="960"/>
    <n v="465"/>
    <x v="7"/>
  </r>
  <r>
    <x v="295"/>
    <d v="2025-07-24T00:00:00"/>
    <s v="Customer 035"/>
    <x v="1"/>
    <x v="1"/>
    <s v="P107"/>
    <n v="2"/>
    <n v="2000"/>
    <n v="0"/>
    <x v="2"/>
    <x v="0"/>
    <n v="1300"/>
    <n v="4000"/>
    <n v="2600"/>
    <n v="1400"/>
    <x v="5"/>
  </r>
  <r>
    <x v="296"/>
    <d v="2025-01-11T00:00:00"/>
    <s v="Customer 007"/>
    <x v="2"/>
    <x v="4"/>
    <s v="P106"/>
    <n v="2"/>
    <n v="500"/>
    <n v="0.1"/>
    <x v="7"/>
    <x v="0"/>
    <n v="320"/>
    <n v="900"/>
    <n v="640"/>
    <n v="260"/>
    <x v="9"/>
  </r>
  <r>
    <x v="297"/>
    <d v="2025-08-09T00:00:00"/>
    <s v="Customer 050"/>
    <x v="0"/>
    <x v="0"/>
    <s v="P104"/>
    <n v="8"/>
    <n v="8000"/>
    <n v="0.05"/>
    <x v="6"/>
    <x v="1"/>
    <n v="6200"/>
    <n v="60800"/>
    <n v="49600"/>
    <n v="11200"/>
    <x v="0"/>
  </r>
  <r>
    <x v="298"/>
    <d v="2025-05-20T00:00:00"/>
    <s v="Customer 057"/>
    <x v="1"/>
    <x v="1"/>
    <s v="P107"/>
    <n v="15"/>
    <n v="2000"/>
    <n v="0"/>
    <x v="2"/>
    <x v="0"/>
    <n v="1300"/>
    <n v="30000"/>
    <n v="19500"/>
    <n v="10500"/>
    <x v="8"/>
  </r>
  <r>
    <x v="299"/>
    <d v="2025-07-02T00:00:00"/>
    <s v="Customer 043"/>
    <x v="1"/>
    <x v="5"/>
    <s v="P103"/>
    <n v="12"/>
    <n v="12000"/>
    <n v="0.15"/>
    <x v="1"/>
    <x v="1"/>
    <n v="9000"/>
    <n v="122400"/>
    <n v="108000"/>
    <n v="14400"/>
    <x v="5"/>
  </r>
  <r>
    <x v="300"/>
    <d v="2025-11-18T00:00:00"/>
    <s v="Customer 045"/>
    <x v="0"/>
    <x v="7"/>
    <s v="P102"/>
    <n v="2"/>
    <n v="18000"/>
    <n v="0.15"/>
    <x v="3"/>
    <x v="1"/>
    <n v="13500"/>
    <n v="30600"/>
    <n v="27000"/>
    <n v="3600"/>
    <x v="3"/>
  </r>
  <r>
    <x v="301"/>
    <d v="2025-08-12T00:00:00"/>
    <s v="Customer 033"/>
    <x v="0"/>
    <x v="0"/>
    <s v="P107"/>
    <n v="14"/>
    <n v="2000"/>
    <n v="0.05"/>
    <x v="2"/>
    <x v="0"/>
    <n v="1300"/>
    <n v="26600"/>
    <n v="18200"/>
    <n v="8400"/>
    <x v="0"/>
  </r>
  <r>
    <x v="302"/>
    <d v="2025-07-12T00:00:00"/>
    <s v="Customer 029"/>
    <x v="1"/>
    <x v="5"/>
    <s v="P101"/>
    <n v="9"/>
    <n v="55000"/>
    <n v="0.15"/>
    <x v="5"/>
    <x v="1"/>
    <n v="41000"/>
    <n v="420750"/>
    <n v="369000"/>
    <n v="51750"/>
    <x v="5"/>
  </r>
  <r>
    <x v="303"/>
    <d v="2025-05-26T00:00:00"/>
    <s v="Customer 010"/>
    <x v="1"/>
    <x v="5"/>
    <s v="P101"/>
    <n v="15"/>
    <n v="55000"/>
    <n v="0"/>
    <x v="5"/>
    <x v="1"/>
    <n v="41000"/>
    <n v="825000"/>
    <n v="615000"/>
    <n v="210000"/>
    <x v="8"/>
  </r>
  <r>
    <x v="304"/>
    <d v="2025-06-18T00:00:00"/>
    <s v="Customer 031"/>
    <x v="3"/>
    <x v="3"/>
    <s v="P106"/>
    <n v="4"/>
    <n v="500"/>
    <n v="0.15"/>
    <x v="7"/>
    <x v="0"/>
    <n v="320"/>
    <n v="1700"/>
    <n v="1280"/>
    <n v="420"/>
    <x v="4"/>
  </r>
  <r>
    <x v="305"/>
    <d v="2025-01-27T00:00:00"/>
    <s v="Customer 012"/>
    <x v="2"/>
    <x v="2"/>
    <s v="P108"/>
    <n v="2"/>
    <n v="1500"/>
    <n v="0"/>
    <x v="0"/>
    <x v="0"/>
    <n v="980"/>
    <n v="3000"/>
    <n v="1960"/>
    <n v="1040"/>
    <x v="9"/>
  </r>
  <r>
    <x v="306"/>
    <d v="2025-02-28T00:00:00"/>
    <s v="Customer 012"/>
    <x v="1"/>
    <x v="1"/>
    <s v="P105"/>
    <n v="5"/>
    <n v="900"/>
    <n v="0"/>
    <x v="4"/>
    <x v="0"/>
    <n v="600"/>
    <n v="4500"/>
    <n v="3000"/>
    <n v="1500"/>
    <x v="2"/>
  </r>
  <r>
    <x v="307"/>
    <d v="2025-12-31T00:00:00"/>
    <s v="Customer 030"/>
    <x v="3"/>
    <x v="6"/>
    <s v="P105"/>
    <n v="9"/>
    <n v="900"/>
    <n v="0"/>
    <x v="4"/>
    <x v="0"/>
    <n v="600"/>
    <n v="8100"/>
    <n v="5400"/>
    <n v="2700"/>
    <x v="11"/>
  </r>
  <r>
    <x v="308"/>
    <d v="2025-10-02T00:00:00"/>
    <s v="Customer 018"/>
    <x v="1"/>
    <x v="1"/>
    <s v="P107"/>
    <n v="4"/>
    <n v="2000"/>
    <n v="0.05"/>
    <x v="2"/>
    <x v="0"/>
    <n v="1300"/>
    <n v="7600"/>
    <n v="5200"/>
    <n v="2400"/>
    <x v="10"/>
  </r>
  <r>
    <x v="309"/>
    <d v="2025-02-07T00:00:00"/>
    <s v="Customer 057"/>
    <x v="1"/>
    <x v="1"/>
    <s v="P108"/>
    <n v="13"/>
    <n v="1500"/>
    <n v="0.05"/>
    <x v="0"/>
    <x v="0"/>
    <n v="980"/>
    <n v="18525"/>
    <n v="12740"/>
    <n v="5785"/>
    <x v="2"/>
  </r>
  <r>
    <x v="310"/>
    <d v="2025-02-06T00:00:00"/>
    <s v="Customer 058"/>
    <x v="0"/>
    <x v="0"/>
    <s v="P101"/>
    <n v="13"/>
    <n v="55000"/>
    <n v="0.1"/>
    <x v="5"/>
    <x v="1"/>
    <n v="41000"/>
    <n v="643500"/>
    <n v="533000"/>
    <n v="110500"/>
    <x v="2"/>
  </r>
  <r>
    <x v="311"/>
    <d v="2025-03-19T00:00:00"/>
    <s v="Customer 003"/>
    <x v="3"/>
    <x v="3"/>
    <s v="P103"/>
    <n v="2"/>
    <n v="12000"/>
    <n v="0"/>
    <x v="1"/>
    <x v="1"/>
    <n v="9000"/>
    <n v="24000"/>
    <n v="18000"/>
    <n v="6000"/>
    <x v="7"/>
  </r>
  <r>
    <x v="312"/>
    <d v="2025-04-23T00:00:00"/>
    <s v="Customer 040"/>
    <x v="3"/>
    <x v="3"/>
    <s v="P102"/>
    <n v="7"/>
    <n v="18000"/>
    <n v="0"/>
    <x v="3"/>
    <x v="1"/>
    <n v="13500"/>
    <n v="126000"/>
    <n v="94500"/>
    <n v="31500"/>
    <x v="6"/>
  </r>
  <r>
    <x v="313"/>
    <d v="2025-01-16T00:00:00"/>
    <s v="Customer 042"/>
    <x v="0"/>
    <x v="0"/>
    <s v="P108"/>
    <n v="2"/>
    <n v="1500"/>
    <n v="0"/>
    <x v="0"/>
    <x v="0"/>
    <n v="980"/>
    <n v="3000"/>
    <n v="1960"/>
    <n v="1040"/>
    <x v="9"/>
  </r>
  <r>
    <x v="314"/>
    <d v="2025-09-30T00:00:00"/>
    <s v="Customer 028"/>
    <x v="3"/>
    <x v="3"/>
    <s v="P104"/>
    <n v="9"/>
    <n v="8000"/>
    <n v="0.15"/>
    <x v="6"/>
    <x v="1"/>
    <n v="6200"/>
    <n v="61200"/>
    <n v="55800"/>
    <n v="5400"/>
    <x v="1"/>
  </r>
  <r>
    <x v="315"/>
    <d v="2025-01-08T00:00:00"/>
    <s v="Customer 018"/>
    <x v="3"/>
    <x v="6"/>
    <s v="P106"/>
    <n v="14"/>
    <n v="500"/>
    <n v="0.15"/>
    <x v="7"/>
    <x v="0"/>
    <n v="320"/>
    <n v="5950"/>
    <n v="4480"/>
    <n v="1470"/>
    <x v="9"/>
  </r>
  <r>
    <x v="316"/>
    <d v="2025-12-22T00:00:00"/>
    <s v="Customer 011"/>
    <x v="2"/>
    <x v="4"/>
    <s v="P103"/>
    <n v="13"/>
    <n v="12000"/>
    <n v="0"/>
    <x v="1"/>
    <x v="1"/>
    <n v="9000"/>
    <n v="156000"/>
    <n v="117000"/>
    <n v="39000"/>
    <x v="11"/>
  </r>
  <r>
    <x v="317"/>
    <d v="2025-01-22T00:00:00"/>
    <s v="Customer 023"/>
    <x v="2"/>
    <x v="4"/>
    <s v="P105"/>
    <n v="2"/>
    <n v="900"/>
    <n v="0"/>
    <x v="4"/>
    <x v="0"/>
    <n v="600"/>
    <n v="1800"/>
    <n v="1200"/>
    <n v="600"/>
    <x v="9"/>
  </r>
  <r>
    <x v="318"/>
    <d v="2025-06-07T00:00:00"/>
    <s v="Customer 014"/>
    <x v="2"/>
    <x v="4"/>
    <s v="P101"/>
    <n v="2"/>
    <n v="55000"/>
    <n v="0.15"/>
    <x v="5"/>
    <x v="1"/>
    <n v="41000"/>
    <n v="93500"/>
    <n v="82000"/>
    <n v="11500"/>
    <x v="4"/>
  </r>
  <r>
    <x v="319"/>
    <d v="2025-06-08T00:00:00"/>
    <s v="Customer 041"/>
    <x v="0"/>
    <x v="7"/>
    <s v="P104"/>
    <n v="3"/>
    <n v="8000"/>
    <n v="0"/>
    <x v="6"/>
    <x v="1"/>
    <n v="6200"/>
    <n v="24000"/>
    <n v="18600"/>
    <n v="5400"/>
    <x v="4"/>
  </r>
  <r>
    <x v="320"/>
    <d v="2025-08-06T00:00:00"/>
    <s v="Customer 009"/>
    <x v="3"/>
    <x v="6"/>
    <s v="P107"/>
    <n v="5"/>
    <n v="2000"/>
    <n v="0.05"/>
    <x v="2"/>
    <x v="0"/>
    <n v="1300"/>
    <n v="9500"/>
    <n v="6500"/>
    <n v="3000"/>
    <x v="0"/>
  </r>
  <r>
    <x v="321"/>
    <d v="2025-02-18T00:00:00"/>
    <s v="Customer 038"/>
    <x v="3"/>
    <x v="6"/>
    <s v="P107"/>
    <n v="4"/>
    <n v="2000"/>
    <n v="0.05"/>
    <x v="2"/>
    <x v="0"/>
    <n v="1300"/>
    <n v="7600"/>
    <n v="5200"/>
    <n v="2400"/>
    <x v="2"/>
  </r>
  <r>
    <x v="322"/>
    <d v="2025-05-26T00:00:00"/>
    <s v="Customer 044"/>
    <x v="1"/>
    <x v="5"/>
    <s v="P105"/>
    <n v="14"/>
    <n v="900"/>
    <n v="0"/>
    <x v="4"/>
    <x v="0"/>
    <n v="600"/>
    <n v="12600"/>
    <n v="8400"/>
    <n v="4200"/>
    <x v="8"/>
  </r>
  <r>
    <x v="323"/>
    <d v="2025-04-26T00:00:00"/>
    <s v="Customer 027"/>
    <x v="0"/>
    <x v="0"/>
    <s v="P107"/>
    <n v="4"/>
    <n v="2000"/>
    <n v="0.15"/>
    <x v="2"/>
    <x v="0"/>
    <n v="1300"/>
    <n v="6800"/>
    <n v="5200"/>
    <n v="1600"/>
    <x v="6"/>
  </r>
  <r>
    <x v="324"/>
    <d v="2025-08-18T00:00:00"/>
    <s v="Customer 019"/>
    <x v="1"/>
    <x v="5"/>
    <s v="P106"/>
    <n v="7"/>
    <n v="500"/>
    <n v="0"/>
    <x v="7"/>
    <x v="0"/>
    <n v="320"/>
    <n v="3500"/>
    <n v="2240"/>
    <n v="1260"/>
    <x v="0"/>
  </r>
  <r>
    <x v="325"/>
    <d v="2025-12-04T00:00:00"/>
    <s v="Customer 001"/>
    <x v="3"/>
    <x v="6"/>
    <s v="P105"/>
    <n v="11"/>
    <n v="900"/>
    <n v="0.15"/>
    <x v="4"/>
    <x v="0"/>
    <n v="600"/>
    <n v="8415"/>
    <n v="6600"/>
    <n v="1815"/>
    <x v="11"/>
  </r>
  <r>
    <x v="326"/>
    <d v="2025-01-08T00:00:00"/>
    <s v="Customer 058"/>
    <x v="0"/>
    <x v="7"/>
    <s v="P106"/>
    <n v="3"/>
    <n v="500"/>
    <n v="0.1"/>
    <x v="7"/>
    <x v="0"/>
    <n v="320"/>
    <n v="1350"/>
    <n v="960"/>
    <n v="390"/>
    <x v="9"/>
  </r>
  <r>
    <x v="327"/>
    <d v="2025-07-18T00:00:00"/>
    <s v="Customer 053"/>
    <x v="0"/>
    <x v="0"/>
    <s v="P105"/>
    <n v="6"/>
    <n v="900"/>
    <n v="0"/>
    <x v="4"/>
    <x v="0"/>
    <n v="600"/>
    <n v="5400"/>
    <n v="3600"/>
    <n v="1800"/>
    <x v="5"/>
  </r>
  <r>
    <x v="328"/>
    <d v="2025-10-07T00:00:00"/>
    <s v="Customer 006"/>
    <x v="1"/>
    <x v="5"/>
    <s v="P108"/>
    <n v="15"/>
    <n v="1500"/>
    <n v="0"/>
    <x v="0"/>
    <x v="0"/>
    <n v="980"/>
    <n v="22500"/>
    <n v="14700"/>
    <n v="7800"/>
    <x v="10"/>
  </r>
  <r>
    <x v="329"/>
    <d v="2025-01-09T00:00:00"/>
    <s v="Customer 043"/>
    <x v="3"/>
    <x v="3"/>
    <s v="P101"/>
    <n v="12"/>
    <n v="55000"/>
    <n v="0.1"/>
    <x v="5"/>
    <x v="1"/>
    <n v="41000"/>
    <n v="594000"/>
    <n v="492000"/>
    <n v="102000"/>
    <x v="9"/>
  </r>
  <r>
    <x v="330"/>
    <d v="2025-01-12T00:00:00"/>
    <s v="Customer 011"/>
    <x v="2"/>
    <x v="4"/>
    <s v="P108"/>
    <n v="2"/>
    <n v="1500"/>
    <n v="0"/>
    <x v="0"/>
    <x v="0"/>
    <n v="980"/>
    <n v="3000"/>
    <n v="1960"/>
    <n v="1040"/>
    <x v="9"/>
  </r>
  <r>
    <x v="331"/>
    <d v="2025-09-16T00:00:00"/>
    <s v="Customer 039"/>
    <x v="3"/>
    <x v="6"/>
    <s v="P108"/>
    <n v="11"/>
    <n v="1500"/>
    <n v="0.15"/>
    <x v="0"/>
    <x v="0"/>
    <n v="980"/>
    <n v="14025"/>
    <n v="10780"/>
    <n v="3245"/>
    <x v="1"/>
  </r>
  <r>
    <x v="332"/>
    <d v="2025-04-24T00:00:00"/>
    <s v="Customer 042"/>
    <x v="1"/>
    <x v="1"/>
    <s v="P107"/>
    <n v="7"/>
    <n v="2000"/>
    <n v="0"/>
    <x v="2"/>
    <x v="0"/>
    <n v="1300"/>
    <n v="14000"/>
    <n v="9100"/>
    <n v="4900"/>
    <x v="6"/>
  </r>
  <r>
    <x v="333"/>
    <d v="2025-01-30T00:00:00"/>
    <s v="Customer 051"/>
    <x v="1"/>
    <x v="1"/>
    <s v="P108"/>
    <n v="11"/>
    <n v="1500"/>
    <n v="0.05"/>
    <x v="0"/>
    <x v="0"/>
    <n v="980"/>
    <n v="15675"/>
    <n v="10780"/>
    <n v="4895"/>
    <x v="9"/>
  </r>
  <r>
    <x v="334"/>
    <d v="2025-09-23T00:00:00"/>
    <s v="Customer 033"/>
    <x v="2"/>
    <x v="4"/>
    <s v="P108"/>
    <n v="6"/>
    <n v="1500"/>
    <n v="0"/>
    <x v="0"/>
    <x v="0"/>
    <n v="980"/>
    <n v="9000"/>
    <n v="5880"/>
    <n v="3120"/>
    <x v="1"/>
  </r>
  <r>
    <x v="335"/>
    <d v="2025-02-19T00:00:00"/>
    <s v="Customer 045"/>
    <x v="1"/>
    <x v="5"/>
    <s v="P101"/>
    <n v="3"/>
    <n v="55000"/>
    <n v="0.15"/>
    <x v="5"/>
    <x v="1"/>
    <n v="41000"/>
    <n v="140250"/>
    <n v="123000"/>
    <n v="17250"/>
    <x v="2"/>
  </r>
  <r>
    <x v="336"/>
    <d v="2025-12-06T00:00:00"/>
    <s v="Customer 010"/>
    <x v="0"/>
    <x v="0"/>
    <s v="P102"/>
    <n v="7"/>
    <n v="18000"/>
    <n v="0.05"/>
    <x v="3"/>
    <x v="1"/>
    <n v="13500"/>
    <n v="119700"/>
    <n v="94500"/>
    <n v="25200"/>
    <x v="11"/>
  </r>
  <r>
    <x v="337"/>
    <d v="2025-07-09T00:00:00"/>
    <s v="Customer 027"/>
    <x v="3"/>
    <x v="6"/>
    <s v="P101"/>
    <n v="2"/>
    <n v="55000"/>
    <n v="0"/>
    <x v="5"/>
    <x v="1"/>
    <n v="41000"/>
    <n v="110000"/>
    <n v="82000"/>
    <n v="28000"/>
    <x v="5"/>
  </r>
  <r>
    <x v="338"/>
    <d v="2025-02-18T00:00:00"/>
    <s v="Customer 016"/>
    <x v="3"/>
    <x v="6"/>
    <s v="P102"/>
    <n v="2"/>
    <n v="18000"/>
    <n v="0.1"/>
    <x v="3"/>
    <x v="1"/>
    <n v="13500"/>
    <n v="32400"/>
    <n v="27000"/>
    <n v="5400"/>
    <x v="2"/>
  </r>
  <r>
    <x v="339"/>
    <d v="2025-12-06T00:00:00"/>
    <s v="Customer 050"/>
    <x v="1"/>
    <x v="1"/>
    <s v="P105"/>
    <n v="5"/>
    <n v="900"/>
    <n v="0"/>
    <x v="4"/>
    <x v="0"/>
    <n v="600"/>
    <n v="4500"/>
    <n v="3000"/>
    <n v="1500"/>
    <x v="11"/>
  </r>
  <r>
    <x v="340"/>
    <d v="2025-05-07T00:00:00"/>
    <s v="Customer 038"/>
    <x v="0"/>
    <x v="7"/>
    <s v="P108"/>
    <n v="1"/>
    <n v="1500"/>
    <n v="0"/>
    <x v="0"/>
    <x v="0"/>
    <n v="980"/>
    <n v="1500"/>
    <n v="980"/>
    <n v="520"/>
    <x v="8"/>
  </r>
  <r>
    <x v="341"/>
    <d v="2025-03-29T00:00:00"/>
    <s v="Customer 052"/>
    <x v="1"/>
    <x v="1"/>
    <s v="P108"/>
    <n v="3"/>
    <n v="1500"/>
    <n v="0"/>
    <x v="0"/>
    <x v="0"/>
    <n v="980"/>
    <n v="4500"/>
    <n v="2940"/>
    <n v="1560"/>
    <x v="7"/>
  </r>
  <r>
    <x v="342"/>
    <d v="2025-03-15T00:00:00"/>
    <s v="Customer 056"/>
    <x v="2"/>
    <x v="2"/>
    <s v="P107"/>
    <n v="10"/>
    <n v="2000"/>
    <n v="0.1"/>
    <x v="2"/>
    <x v="0"/>
    <n v="1300"/>
    <n v="18000"/>
    <n v="13000"/>
    <n v="5000"/>
    <x v="7"/>
  </r>
  <r>
    <x v="343"/>
    <d v="2025-07-31T00:00:00"/>
    <s v="Customer 048"/>
    <x v="1"/>
    <x v="5"/>
    <s v="P104"/>
    <n v="3"/>
    <n v="8000"/>
    <n v="0"/>
    <x v="6"/>
    <x v="1"/>
    <n v="6200"/>
    <n v="24000"/>
    <n v="18600"/>
    <n v="5400"/>
    <x v="5"/>
  </r>
  <r>
    <x v="344"/>
    <d v="2025-03-22T00:00:00"/>
    <s v="Customer 032"/>
    <x v="3"/>
    <x v="3"/>
    <s v="P101"/>
    <n v="7"/>
    <n v="55000"/>
    <n v="0"/>
    <x v="5"/>
    <x v="1"/>
    <n v="41000"/>
    <n v="385000"/>
    <n v="287000"/>
    <n v="98000"/>
    <x v="7"/>
  </r>
  <r>
    <x v="345"/>
    <d v="2025-10-06T00:00:00"/>
    <s v="Customer 006"/>
    <x v="1"/>
    <x v="1"/>
    <s v="P107"/>
    <n v="7"/>
    <n v="2000"/>
    <n v="0"/>
    <x v="2"/>
    <x v="0"/>
    <n v="1300"/>
    <n v="14000"/>
    <n v="9100"/>
    <n v="4900"/>
    <x v="10"/>
  </r>
  <r>
    <x v="346"/>
    <d v="2025-05-14T00:00:00"/>
    <s v="Customer 014"/>
    <x v="1"/>
    <x v="1"/>
    <s v="P107"/>
    <n v="6"/>
    <n v="2000"/>
    <n v="0.05"/>
    <x v="2"/>
    <x v="0"/>
    <n v="1300"/>
    <n v="11400"/>
    <n v="7800"/>
    <n v="3600"/>
    <x v="8"/>
  </r>
  <r>
    <x v="347"/>
    <d v="2025-10-18T00:00:00"/>
    <s v="Customer 018"/>
    <x v="1"/>
    <x v="5"/>
    <s v="P107"/>
    <n v="11"/>
    <n v="2000"/>
    <n v="0"/>
    <x v="2"/>
    <x v="0"/>
    <n v="1300"/>
    <n v="22000"/>
    <n v="14300"/>
    <n v="7700"/>
    <x v="10"/>
  </r>
  <r>
    <x v="348"/>
    <d v="2025-04-23T00:00:00"/>
    <s v="Customer 025"/>
    <x v="3"/>
    <x v="3"/>
    <s v="P102"/>
    <n v="7"/>
    <n v="18000"/>
    <n v="0.05"/>
    <x v="3"/>
    <x v="1"/>
    <n v="13500"/>
    <n v="119700"/>
    <n v="94500"/>
    <n v="25200"/>
    <x v="6"/>
  </r>
  <r>
    <x v="349"/>
    <d v="2025-11-29T00:00:00"/>
    <s v="Customer 004"/>
    <x v="0"/>
    <x v="7"/>
    <s v="P106"/>
    <n v="8"/>
    <n v="500"/>
    <n v="0"/>
    <x v="7"/>
    <x v="0"/>
    <n v="320"/>
    <n v="4000"/>
    <n v="2560"/>
    <n v="1440"/>
    <x v="3"/>
  </r>
  <r>
    <x v="350"/>
    <d v="2025-09-29T00:00:00"/>
    <s v="Customer 036"/>
    <x v="1"/>
    <x v="5"/>
    <s v="P103"/>
    <n v="9"/>
    <n v="12000"/>
    <n v="0.05"/>
    <x v="1"/>
    <x v="1"/>
    <n v="9000"/>
    <n v="102600"/>
    <n v="81000"/>
    <n v="21600"/>
    <x v="1"/>
  </r>
  <r>
    <x v="351"/>
    <d v="2025-07-24T00:00:00"/>
    <s v="Customer 003"/>
    <x v="2"/>
    <x v="4"/>
    <s v="P102"/>
    <n v="12"/>
    <n v="18000"/>
    <n v="0"/>
    <x v="3"/>
    <x v="1"/>
    <n v="13500"/>
    <n v="216000"/>
    <n v="162000"/>
    <n v="54000"/>
    <x v="5"/>
  </r>
  <r>
    <x v="352"/>
    <d v="2025-07-04T00:00:00"/>
    <s v="Customer 034"/>
    <x v="0"/>
    <x v="7"/>
    <s v="P104"/>
    <n v="9"/>
    <n v="8000"/>
    <n v="0.15"/>
    <x v="6"/>
    <x v="1"/>
    <n v="6200"/>
    <n v="61200"/>
    <n v="55800"/>
    <n v="5400"/>
    <x v="5"/>
  </r>
  <r>
    <x v="353"/>
    <d v="2025-01-05T00:00:00"/>
    <s v="Customer 001"/>
    <x v="3"/>
    <x v="3"/>
    <s v="P107"/>
    <n v="10"/>
    <n v="2000"/>
    <n v="0"/>
    <x v="2"/>
    <x v="0"/>
    <n v="1300"/>
    <n v="20000"/>
    <n v="13000"/>
    <n v="7000"/>
    <x v="9"/>
  </r>
  <r>
    <x v="354"/>
    <d v="2025-05-07T00:00:00"/>
    <s v="Customer 014"/>
    <x v="3"/>
    <x v="6"/>
    <s v="P106"/>
    <n v="14"/>
    <n v="500"/>
    <n v="0"/>
    <x v="7"/>
    <x v="0"/>
    <n v="320"/>
    <n v="7000"/>
    <n v="4480"/>
    <n v="2520"/>
    <x v="8"/>
  </r>
  <r>
    <x v="355"/>
    <d v="2025-06-11T00:00:00"/>
    <s v="Customer 049"/>
    <x v="2"/>
    <x v="4"/>
    <s v="P108"/>
    <n v="2"/>
    <n v="1500"/>
    <n v="0.1"/>
    <x v="0"/>
    <x v="0"/>
    <n v="980"/>
    <n v="2700"/>
    <n v="1960"/>
    <n v="740"/>
    <x v="4"/>
  </r>
  <r>
    <x v="356"/>
    <d v="2025-01-28T00:00:00"/>
    <s v="Customer 018"/>
    <x v="1"/>
    <x v="5"/>
    <s v="P104"/>
    <n v="5"/>
    <n v="8000"/>
    <n v="0.1"/>
    <x v="6"/>
    <x v="1"/>
    <n v="6200"/>
    <n v="36000"/>
    <n v="31000"/>
    <n v="5000"/>
    <x v="9"/>
  </r>
  <r>
    <x v="357"/>
    <d v="2025-11-28T00:00:00"/>
    <s v="Customer 037"/>
    <x v="3"/>
    <x v="6"/>
    <s v="P107"/>
    <n v="2"/>
    <n v="2000"/>
    <n v="0"/>
    <x v="2"/>
    <x v="0"/>
    <n v="1300"/>
    <n v="4000"/>
    <n v="2600"/>
    <n v="1400"/>
    <x v="3"/>
  </r>
  <r>
    <x v="358"/>
    <d v="2025-02-13T00:00:00"/>
    <s v="Customer 022"/>
    <x v="0"/>
    <x v="0"/>
    <s v="P104"/>
    <n v="14"/>
    <n v="8000"/>
    <n v="0"/>
    <x v="6"/>
    <x v="1"/>
    <n v="6200"/>
    <n v="112000"/>
    <n v="86800"/>
    <n v="25200"/>
    <x v="2"/>
  </r>
  <r>
    <x v="359"/>
    <d v="2025-06-12T00:00:00"/>
    <s v="Customer 042"/>
    <x v="2"/>
    <x v="4"/>
    <s v="P103"/>
    <n v="13"/>
    <n v="12000"/>
    <n v="0"/>
    <x v="1"/>
    <x v="1"/>
    <n v="9000"/>
    <n v="156000"/>
    <n v="117000"/>
    <n v="39000"/>
    <x v="4"/>
  </r>
  <r>
    <x v="360"/>
    <d v="2025-01-30T00:00:00"/>
    <s v="Customer 006"/>
    <x v="0"/>
    <x v="0"/>
    <s v="P101"/>
    <n v="7"/>
    <n v="55000"/>
    <n v="0.1"/>
    <x v="5"/>
    <x v="1"/>
    <n v="41000"/>
    <n v="346500"/>
    <n v="287000"/>
    <n v="59500"/>
    <x v="9"/>
  </r>
  <r>
    <x v="361"/>
    <d v="2025-06-24T00:00:00"/>
    <s v="Customer 001"/>
    <x v="1"/>
    <x v="5"/>
    <s v="P104"/>
    <n v="10"/>
    <n v="8000"/>
    <n v="0.1"/>
    <x v="6"/>
    <x v="1"/>
    <n v="6200"/>
    <n v="72000"/>
    <n v="62000"/>
    <n v="10000"/>
    <x v="4"/>
  </r>
  <r>
    <x v="362"/>
    <d v="2025-08-03T00:00:00"/>
    <s v="Customer 029"/>
    <x v="3"/>
    <x v="6"/>
    <s v="P102"/>
    <n v="3"/>
    <n v="18000"/>
    <n v="0"/>
    <x v="3"/>
    <x v="1"/>
    <n v="13500"/>
    <n v="54000"/>
    <n v="40500"/>
    <n v="13500"/>
    <x v="0"/>
  </r>
  <r>
    <x v="363"/>
    <d v="2025-07-13T00:00:00"/>
    <s v="Customer 029"/>
    <x v="0"/>
    <x v="7"/>
    <s v="P107"/>
    <n v="13"/>
    <n v="2000"/>
    <n v="0"/>
    <x v="2"/>
    <x v="0"/>
    <n v="1300"/>
    <n v="26000"/>
    <n v="16900"/>
    <n v="9100"/>
    <x v="5"/>
  </r>
  <r>
    <x v="364"/>
    <d v="2025-02-06T00:00:00"/>
    <s v="Customer 046"/>
    <x v="1"/>
    <x v="1"/>
    <s v="P106"/>
    <n v="11"/>
    <n v="500"/>
    <n v="0.1"/>
    <x v="7"/>
    <x v="0"/>
    <n v="320"/>
    <n v="4950"/>
    <n v="3520"/>
    <n v="1430"/>
    <x v="2"/>
  </r>
  <r>
    <x v="365"/>
    <d v="2025-12-26T00:00:00"/>
    <s v="Customer 042"/>
    <x v="1"/>
    <x v="1"/>
    <s v="P107"/>
    <n v="5"/>
    <n v="2000"/>
    <n v="0.15"/>
    <x v="2"/>
    <x v="0"/>
    <n v="1300"/>
    <n v="8500"/>
    <n v="6500"/>
    <n v="2000"/>
    <x v="11"/>
  </r>
  <r>
    <x v="366"/>
    <d v="2025-04-19T00:00:00"/>
    <s v="Customer 009"/>
    <x v="1"/>
    <x v="1"/>
    <s v="P107"/>
    <n v="6"/>
    <n v="2000"/>
    <n v="0.1"/>
    <x v="2"/>
    <x v="0"/>
    <n v="1300"/>
    <n v="10800"/>
    <n v="7800"/>
    <n v="3000"/>
    <x v="6"/>
  </r>
  <r>
    <x v="367"/>
    <d v="2025-03-21T00:00:00"/>
    <s v="Customer 058"/>
    <x v="3"/>
    <x v="3"/>
    <s v="P108"/>
    <n v="7"/>
    <n v="1500"/>
    <n v="0"/>
    <x v="0"/>
    <x v="0"/>
    <n v="980"/>
    <n v="10500"/>
    <n v="6860"/>
    <n v="3640"/>
    <x v="7"/>
  </r>
  <r>
    <x v="368"/>
    <d v="2025-07-13T00:00:00"/>
    <s v="Customer 045"/>
    <x v="2"/>
    <x v="4"/>
    <s v="P108"/>
    <n v="8"/>
    <n v="1500"/>
    <n v="0.05"/>
    <x v="0"/>
    <x v="0"/>
    <n v="980"/>
    <n v="11400"/>
    <n v="7840"/>
    <n v="3560"/>
    <x v="5"/>
  </r>
  <r>
    <x v="369"/>
    <d v="2025-09-19T00:00:00"/>
    <s v="Customer 055"/>
    <x v="0"/>
    <x v="0"/>
    <s v="P102"/>
    <n v="9"/>
    <n v="18000"/>
    <n v="0.15"/>
    <x v="3"/>
    <x v="1"/>
    <n v="13500"/>
    <n v="137700"/>
    <n v="121500"/>
    <n v="16200"/>
    <x v="1"/>
  </r>
  <r>
    <x v="370"/>
    <d v="2025-10-27T00:00:00"/>
    <s v="Customer 053"/>
    <x v="3"/>
    <x v="6"/>
    <s v="P104"/>
    <n v="1"/>
    <n v="8000"/>
    <n v="0"/>
    <x v="6"/>
    <x v="1"/>
    <n v="6200"/>
    <n v="8000"/>
    <n v="6200"/>
    <n v="1800"/>
    <x v="10"/>
  </r>
  <r>
    <x v="371"/>
    <d v="2025-11-30T00:00:00"/>
    <s v="Customer 044"/>
    <x v="3"/>
    <x v="3"/>
    <s v="P107"/>
    <n v="10"/>
    <n v="2000"/>
    <n v="0.1"/>
    <x v="2"/>
    <x v="0"/>
    <n v="1300"/>
    <n v="18000"/>
    <n v="13000"/>
    <n v="5000"/>
    <x v="3"/>
  </r>
  <r>
    <x v="372"/>
    <d v="2025-08-20T00:00:00"/>
    <s v="Customer 010"/>
    <x v="0"/>
    <x v="7"/>
    <s v="P106"/>
    <n v="13"/>
    <n v="500"/>
    <n v="0.1"/>
    <x v="7"/>
    <x v="0"/>
    <n v="320"/>
    <n v="5850"/>
    <n v="4160"/>
    <n v="1690"/>
    <x v="0"/>
  </r>
  <r>
    <x v="373"/>
    <d v="2025-12-27T00:00:00"/>
    <s v="Customer 032"/>
    <x v="0"/>
    <x v="0"/>
    <s v="P106"/>
    <n v="2"/>
    <n v="500"/>
    <n v="0.15"/>
    <x v="7"/>
    <x v="0"/>
    <n v="320"/>
    <n v="850"/>
    <n v="640"/>
    <n v="210"/>
    <x v="11"/>
  </r>
  <r>
    <x v="374"/>
    <d v="2025-11-20T00:00:00"/>
    <s v="Customer 037"/>
    <x v="3"/>
    <x v="6"/>
    <s v="P106"/>
    <n v="12"/>
    <n v="500"/>
    <n v="0.05"/>
    <x v="7"/>
    <x v="0"/>
    <n v="320"/>
    <n v="5700"/>
    <n v="3840"/>
    <n v="1860"/>
    <x v="3"/>
  </r>
  <r>
    <x v="375"/>
    <d v="2025-05-12T00:00:00"/>
    <s v="Unknown"/>
    <x v="1"/>
    <x v="1"/>
    <s v="P105"/>
    <n v="7"/>
    <n v="900"/>
    <n v="0"/>
    <x v="4"/>
    <x v="0"/>
    <n v="600"/>
    <n v="6300"/>
    <n v="4200"/>
    <n v="2100"/>
    <x v="8"/>
  </r>
  <r>
    <x v="376"/>
    <d v="2025-08-10T00:00:00"/>
    <s v="Customer 030"/>
    <x v="1"/>
    <x v="5"/>
    <s v="P103"/>
    <n v="7"/>
    <n v="12000"/>
    <n v="0.1"/>
    <x v="1"/>
    <x v="1"/>
    <n v="9000"/>
    <n v="75600"/>
    <n v="63000"/>
    <n v="12600"/>
    <x v="0"/>
  </r>
  <r>
    <x v="377"/>
    <d v="2025-09-07T00:00:00"/>
    <s v="Customer 007"/>
    <x v="1"/>
    <x v="5"/>
    <s v="P104"/>
    <n v="3"/>
    <n v="8000"/>
    <n v="0.1"/>
    <x v="6"/>
    <x v="1"/>
    <n v="6200"/>
    <n v="21600"/>
    <n v="18600"/>
    <n v="3000"/>
    <x v="1"/>
  </r>
  <r>
    <x v="378"/>
    <d v="2025-09-14T00:00:00"/>
    <s v="Customer 037"/>
    <x v="2"/>
    <x v="2"/>
    <s v="P101"/>
    <n v="12"/>
    <n v="55000"/>
    <n v="0"/>
    <x v="5"/>
    <x v="1"/>
    <n v="41000"/>
    <n v="660000"/>
    <n v="492000"/>
    <n v="168000"/>
    <x v="1"/>
  </r>
  <r>
    <x v="379"/>
    <d v="2025-10-10T00:00:00"/>
    <s v="Customer 029"/>
    <x v="0"/>
    <x v="7"/>
    <s v="P106"/>
    <n v="8"/>
    <n v="500"/>
    <n v="0"/>
    <x v="7"/>
    <x v="0"/>
    <n v="320"/>
    <n v="4000"/>
    <n v="2560"/>
    <n v="1440"/>
    <x v="10"/>
  </r>
  <r>
    <x v="380"/>
    <d v="2025-06-04T00:00:00"/>
    <s v="Customer 014"/>
    <x v="1"/>
    <x v="1"/>
    <s v="P104"/>
    <n v="13"/>
    <n v="8000"/>
    <n v="0"/>
    <x v="6"/>
    <x v="1"/>
    <n v="6200"/>
    <n v="104000"/>
    <n v="80600"/>
    <n v="23400"/>
    <x v="4"/>
  </r>
  <r>
    <x v="381"/>
    <d v="2025-10-01T00:00:00"/>
    <s v="Customer 038"/>
    <x v="3"/>
    <x v="6"/>
    <s v="P102"/>
    <n v="3"/>
    <n v="18000"/>
    <n v="0"/>
    <x v="3"/>
    <x v="1"/>
    <n v="13500"/>
    <n v="54000"/>
    <n v="40500"/>
    <n v="13500"/>
    <x v="10"/>
  </r>
  <r>
    <x v="382"/>
    <d v="2025-07-08T00:00:00"/>
    <s v="Customer 052"/>
    <x v="3"/>
    <x v="3"/>
    <s v="P106"/>
    <n v="2"/>
    <n v="500"/>
    <n v="0.15"/>
    <x v="7"/>
    <x v="0"/>
    <n v="320"/>
    <n v="850"/>
    <n v="640"/>
    <n v="210"/>
    <x v="5"/>
  </r>
  <r>
    <x v="383"/>
    <d v="2025-11-08T00:00:00"/>
    <s v="Customer 002"/>
    <x v="3"/>
    <x v="6"/>
    <s v="P102"/>
    <n v="4"/>
    <n v="18000"/>
    <n v="0"/>
    <x v="3"/>
    <x v="1"/>
    <n v="13500"/>
    <n v="72000"/>
    <n v="54000"/>
    <n v="18000"/>
    <x v="3"/>
  </r>
  <r>
    <x v="384"/>
    <d v="2025-10-03T00:00:00"/>
    <s v="Customer 036"/>
    <x v="3"/>
    <x v="6"/>
    <s v="P105"/>
    <n v="5"/>
    <n v="900"/>
    <n v="0"/>
    <x v="4"/>
    <x v="0"/>
    <n v="600"/>
    <n v="4500"/>
    <n v="3000"/>
    <n v="1500"/>
    <x v="10"/>
  </r>
  <r>
    <x v="385"/>
    <d v="2025-05-15T00:00:00"/>
    <s v="Customer 019"/>
    <x v="0"/>
    <x v="7"/>
    <s v="P102"/>
    <n v="5"/>
    <n v="18000"/>
    <n v="0"/>
    <x v="3"/>
    <x v="1"/>
    <n v="13500"/>
    <n v="90000"/>
    <n v="67500"/>
    <n v="22500"/>
    <x v="8"/>
  </r>
  <r>
    <x v="386"/>
    <d v="2025-09-18T00:00:00"/>
    <s v="Customer 055"/>
    <x v="2"/>
    <x v="2"/>
    <s v="P107"/>
    <n v="3"/>
    <n v="2000"/>
    <n v="0.1"/>
    <x v="2"/>
    <x v="0"/>
    <n v="1300"/>
    <n v="5400"/>
    <n v="3900"/>
    <n v="1500"/>
    <x v="1"/>
  </r>
  <r>
    <x v="387"/>
    <d v="2025-11-09T00:00:00"/>
    <s v="Customer 045"/>
    <x v="1"/>
    <x v="5"/>
    <s v="P103"/>
    <n v="9"/>
    <n v="12000"/>
    <n v="0.15"/>
    <x v="1"/>
    <x v="1"/>
    <n v="9000"/>
    <n v="91800"/>
    <n v="81000"/>
    <n v="10800"/>
    <x v="3"/>
  </r>
  <r>
    <x v="388"/>
    <d v="2025-06-06T00:00:00"/>
    <s v="Customer 042"/>
    <x v="1"/>
    <x v="1"/>
    <s v="P107"/>
    <n v="15"/>
    <n v="2000"/>
    <n v="0"/>
    <x v="2"/>
    <x v="0"/>
    <n v="1300"/>
    <n v="30000"/>
    <n v="19500"/>
    <n v="10500"/>
    <x v="4"/>
  </r>
  <r>
    <x v="389"/>
    <d v="2025-09-04T00:00:00"/>
    <s v="Customer 014"/>
    <x v="0"/>
    <x v="7"/>
    <s v="P106"/>
    <n v="6"/>
    <n v="500"/>
    <n v="0.15"/>
    <x v="7"/>
    <x v="0"/>
    <n v="320"/>
    <n v="2550"/>
    <n v="1920"/>
    <n v="630"/>
    <x v="1"/>
  </r>
  <r>
    <x v="390"/>
    <d v="2025-10-17T00:00:00"/>
    <s v="Customer 008"/>
    <x v="3"/>
    <x v="6"/>
    <s v="P104"/>
    <n v="2"/>
    <n v="8000"/>
    <n v="0.1"/>
    <x v="6"/>
    <x v="1"/>
    <n v="6200"/>
    <n v="14400"/>
    <n v="12400"/>
    <n v="2000"/>
    <x v="10"/>
  </r>
  <r>
    <x v="391"/>
    <d v="2025-06-04T00:00:00"/>
    <s v="Customer 008"/>
    <x v="1"/>
    <x v="1"/>
    <s v="P102"/>
    <n v="15"/>
    <n v="18000"/>
    <n v="0.1"/>
    <x v="3"/>
    <x v="1"/>
    <n v="13500"/>
    <n v="243000"/>
    <n v="202500"/>
    <n v="40500"/>
    <x v="4"/>
  </r>
  <r>
    <x v="392"/>
    <d v="2025-07-08T00:00:00"/>
    <s v="Customer 004"/>
    <x v="3"/>
    <x v="6"/>
    <s v="P106"/>
    <n v="14"/>
    <n v="500"/>
    <n v="0"/>
    <x v="7"/>
    <x v="0"/>
    <n v="320"/>
    <n v="7000"/>
    <n v="4480"/>
    <n v="2520"/>
    <x v="5"/>
  </r>
  <r>
    <x v="393"/>
    <d v="2025-03-14T00:00:00"/>
    <s v="Customer 058"/>
    <x v="1"/>
    <x v="1"/>
    <s v="P107"/>
    <n v="10"/>
    <n v="2000"/>
    <n v="0"/>
    <x v="2"/>
    <x v="0"/>
    <n v="1300"/>
    <n v="20000"/>
    <n v="13000"/>
    <n v="7000"/>
    <x v="7"/>
  </r>
  <r>
    <x v="394"/>
    <d v="2025-08-12T00:00:00"/>
    <s v="Unknown"/>
    <x v="2"/>
    <x v="4"/>
    <s v="P102"/>
    <n v="9"/>
    <n v="18000"/>
    <n v="0.15"/>
    <x v="3"/>
    <x v="1"/>
    <n v="13500"/>
    <n v="137700"/>
    <n v="121500"/>
    <n v="16200"/>
    <x v="0"/>
  </r>
  <r>
    <x v="395"/>
    <d v="2025-04-12T00:00:00"/>
    <s v="Customer 013"/>
    <x v="1"/>
    <x v="1"/>
    <s v="P107"/>
    <n v="3"/>
    <n v="2000"/>
    <n v="0.05"/>
    <x v="2"/>
    <x v="0"/>
    <n v="1300"/>
    <n v="5700"/>
    <n v="3900"/>
    <n v="1800"/>
    <x v="6"/>
  </r>
  <r>
    <x v="396"/>
    <d v="2025-12-22T00:00:00"/>
    <s v="Customer 006"/>
    <x v="0"/>
    <x v="0"/>
    <s v="P101"/>
    <n v="9"/>
    <n v="55000"/>
    <n v="0.1"/>
    <x v="5"/>
    <x v="1"/>
    <n v="41000"/>
    <n v="445500"/>
    <n v="369000"/>
    <n v="76500"/>
    <x v="11"/>
  </r>
  <r>
    <x v="397"/>
    <d v="2025-06-03T00:00:00"/>
    <s v="Customer 018"/>
    <x v="3"/>
    <x v="6"/>
    <s v="P106"/>
    <n v="4"/>
    <n v="500"/>
    <n v="0.15"/>
    <x v="7"/>
    <x v="0"/>
    <n v="320"/>
    <n v="1700"/>
    <n v="1280"/>
    <n v="420"/>
    <x v="4"/>
  </r>
  <r>
    <x v="398"/>
    <d v="2025-10-05T00:00:00"/>
    <s v="Customer 039"/>
    <x v="2"/>
    <x v="4"/>
    <s v="P107"/>
    <n v="15"/>
    <n v="2000"/>
    <n v="0"/>
    <x v="2"/>
    <x v="0"/>
    <n v="1300"/>
    <n v="30000"/>
    <n v="19500"/>
    <n v="10500"/>
    <x v="10"/>
  </r>
  <r>
    <x v="399"/>
    <d v="2025-10-30T00:00:00"/>
    <s v="Customer 011"/>
    <x v="3"/>
    <x v="6"/>
    <s v="P103"/>
    <n v="2"/>
    <n v="12000"/>
    <n v="0.1"/>
    <x v="1"/>
    <x v="1"/>
    <n v="9000"/>
    <n v="21600"/>
    <n v="18000"/>
    <n v="3600"/>
    <x v="10"/>
  </r>
  <r>
    <x v="400"/>
    <d v="2025-02-25T00:00:00"/>
    <s v="Customer 002"/>
    <x v="1"/>
    <x v="5"/>
    <s v="P105"/>
    <n v="14"/>
    <n v="900"/>
    <n v="0"/>
    <x v="4"/>
    <x v="0"/>
    <n v="600"/>
    <n v="12600"/>
    <n v="8400"/>
    <n v="4200"/>
    <x v="2"/>
  </r>
  <r>
    <x v="401"/>
    <d v="2025-01-17T00:00:00"/>
    <s v="Customer 034"/>
    <x v="2"/>
    <x v="2"/>
    <s v="P103"/>
    <n v="12"/>
    <n v="12000"/>
    <n v="0.1"/>
    <x v="1"/>
    <x v="1"/>
    <n v="9000"/>
    <n v="129600"/>
    <n v="108000"/>
    <n v="21600"/>
    <x v="9"/>
  </r>
  <r>
    <x v="402"/>
    <d v="2025-01-01T00:00:00"/>
    <s v="Customer 026"/>
    <x v="3"/>
    <x v="6"/>
    <s v="P102"/>
    <n v="13"/>
    <n v="18000"/>
    <n v="0"/>
    <x v="3"/>
    <x v="1"/>
    <n v="13500"/>
    <n v="234000"/>
    <n v="175500"/>
    <n v="58500"/>
    <x v="9"/>
  </r>
  <r>
    <x v="403"/>
    <d v="2025-07-28T00:00:00"/>
    <s v="Customer 026"/>
    <x v="3"/>
    <x v="6"/>
    <s v="P106"/>
    <n v="4"/>
    <n v="500"/>
    <n v="0"/>
    <x v="7"/>
    <x v="0"/>
    <n v="320"/>
    <n v="2000"/>
    <n v="1280"/>
    <n v="720"/>
    <x v="5"/>
  </r>
  <r>
    <x v="404"/>
    <d v="2025-05-04T00:00:00"/>
    <s v="Customer 034"/>
    <x v="3"/>
    <x v="3"/>
    <s v="P101"/>
    <n v="10"/>
    <n v="55000"/>
    <n v="0"/>
    <x v="5"/>
    <x v="1"/>
    <n v="41000"/>
    <n v="550000"/>
    <n v="410000"/>
    <n v="140000"/>
    <x v="8"/>
  </r>
  <r>
    <x v="405"/>
    <d v="2025-09-24T00:00:00"/>
    <s v="Customer 060"/>
    <x v="3"/>
    <x v="3"/>
    <s v="P108"/>
    <n v="11"/>
    <n v="1500"/>
    <n v="0"/>
    <x v="0"/>
    <x v="0"/>
    <n v="980"/>
    <n v="16500"/>
    <n v="10780"/>
    <n v="5720"/>
    <x v="1"/>
  </r>
  <r>
    <x v="406"/>
    <d v="2025-03-31T00:00:00"/>
    <s v="Customer 029"/>
    <x v="2"/>
    <x v="4"/>
    <s v="P103"/>
    <n v="4"/>
    <n v="12000"/>
    <n v="0"/>
    <x v="1"/>
    <x v="1"/>
    <n v="9000"/>
    <n v="48000"/>
    <n v="36000"/>
    <n v="12000"/>
    <x v="7"/>
  </r>
  <r>
    <x v="407"/>
    <d v="2025-04-24T00:00:00"/>
    <s v="Customer 042"/>
    <x v="3"/>
    <x v="3"/>
    <s v="P103"/>
    <n v="4"/>
    <n v="12000"/>
    <n v="0.15"/>
    <x v="1"/>
    <x v="1"/>
    <n v="9000"/>
    <n v="40800"/>
    <n v="36000"/>
    <n v="4800"/>
    <x v="6"/>
  </r>
  <r>
    <x v="408"/>
    <d v="2025-11-01T00:00:00"/>
    <s v="Customer 015"/>
    <x v="3"/>
    <x v="6"/>
    <s v="P101"/>
    <n v="3"/>
    <n v="55000"/>
    <n v="0"/>
    <x v="5"/>
    <x v="1"/>
    <n v="41000"/>
    <n v="165000"/>
    <n v="123000"/>
    <n v="42000"/>
    <x v="3"/>
  </r>
  <r>
    <x v="409"/>
    <d v="2025-06-04T00:00:00"/>
    <s v="Customer 051"/>
    <x v="3"/>
    <x v="6"/>
    <s v="P104"/>
    <n v="11"/>
    <n v="8000"/>
    <n v="0"/>
    <x v="6"/>
    <x v="1"/>
    <n v="6200"/>
    <n v="88000"/>
    <n v="68200"/>
    <n v="19800"/>
    <x v="4"/>
  </r>
  <r>
    <x v="410"/>
    <d v="2025-10-04T00:00:00"/>
    <s v="Customer 016"/>
    <x v="1"/>
    <x v="5"/>
    <s v="P102"/>
    <n v="11"/>
    <n v="18000"/>
    <n v="0.1"/>
    <x v="3"/>
    <x v="1"/>
    <n v="13500"/>
    <n v="178200"/>
    <n v="148500"/>
    <n v="29700"/>
    <x v="10"/>
  </r>
  <r>
    <x v="411"/>
    <d v="2025-04-22T00:00:00"/>
    <s v="Customer 024"/>
    <x v="1"/>
    <x v="5"/>
    <s v="P107"/>
    <n v="9"/>
    <n v="2000"/>
    <n v="0"/>
    <x v="2"/>
    <x v="0"/>
    <n v="1300"/>
    <n v="18000"/>
    <n v="11700"/>
    <n v="6300"/>
    <x v="6"/>
  </r>
  <r>
    <x v="412"/>
    <d v="2025-02-05T00:00:00"/>
    <s v="Customer 051"/>
    <x v="1"/>
    <x v="1"/>
    <s v="P107"/>
    <n v="3"/>
    <n v="2000"/>
    <n v="0.05"/>
    <x v="2"/>
    <x v="0"/>
    <n v="1300"/>
    <n v="5700"/>
    <n v="3900"/>
    <n v="1800"/>
    <x v="2"/>
  </r>
  <r>
    <x v="413"/>
    <d v="2025-06-23T00:00:00"/>
    <s v="Customer 036"/>
    <x v="2"/>
    <x v="2"/>
    <s v="P107"/>
    <n v="15"/>
    <n v="2000"/>
    <n v="0"/>
    <x v="2"/>
    <x v="0"/>
    <n v="1300"/>
    <n v="30000"/>
    <n v="19500"/>
    <n v="10500"/>
    <x v="4"/>
  </r>
  <r>
    <x v="414"/>
    <d v="2025-09-01T00:00:00"/>
    <s v="Customer 025"/>
    <x v="1"/>
    <x v="1"/>
    <s v="P101"/>
    <n v="8"/>
    <n v="55000"/>
    <n v="0"/>
    <x v="5"/>
    <x v="1"/>
    <n v="41000"/>
    <n v="440000"/>
    <n v="328000"/>
    <n v="112000"/>
    <x v="1"/>
  </r>
  <r>
    <x v="415"/>
    <d v="2025-08-06T00:00:00"/>
    <s v="Customer 011"/>
    <x v="2"/>
    <x v="4"/>
    <s v="P103"/>
    <n v="2"/>
    <n v="12000"/>
    <n v="0"/>
    <x v="1"/>
    <x v="1"/>
    <n v="9000"/>
    <n v="24000"/>
    <n v="18000"/>
    <n v="6000"/>
    <x v="0"/>
  </r>
  <r>
    <x v="416"/>
    <d v="2025-04-26T00:00:00"/>
    <s v="Customer 010"/>
    <x v="3"/>
    <x v="3"/>
    <s v="P106"/>
    <n v="3"/>
    <n v="500"/>
    <n v="0"/>
    <x v="7"/>
    <x v="0"/>
    <n v="320"/>
    <n v="1500"/>
    <n v="960"/>
    <n v="540"/>
    <x v="6"/>
  </r>
  <r>
    <x v="417"/>
    <d v="2025-01-22T00:00:00"/>
    <s v="Customer 044"/>
    <x v="2"/>
    <x v="2"/>
    <s v="P104"/>
    <n v="3"/>
    <n v="8000"/>
    <n v="0.15"/>
    <x v="6"/>
    <x v="1"/>
    <n v="6200"/>
    <n v="20400"/>
    <n v="18600"/>
    <n v="1800"/>
    <x v="9"/>
  </r>
  <r>
    <x v="418"/>
    <d v="2025-12-09T00:00:00"/>
    <s v="Customer 008"/>
    <x v="0"/>
    <x v="7"/>
    <s v="P106"/>
    <n v="6"/>
    <n v="500"/>
    <n v="0.15"/>
    <x v="7"/>
    <x v="0"/>
    <n v="320"/>
    <n v="2550"/>
    <n v="1920"/>
    <n v="630"/>
    <x v="11"/>
  </r>
  <r>
    <x v="419"/>
    <d v="2025-03-16T00:00:00"/>
    <s v="Customer 044"/>
    <x v="1"/>
    <x v="1"/>
    <s v="P103"/>
    <n v="12"/>
    <n v="12000"/>
    <n v="0"/>
    <x v="1"/>
    <x v="1"/>
    <n v="9000"/>
    <n v="144000"/>
    <n v="108000"/>
    <n v="36000"/>
    <x v="7"/>
  </r>
  <r>
    <x v="420"/>
    <d v="2025-03-05T00:00:00"/>
    <s v="Customer 008"/>
    <x v="3"/>
    <x v="3"/>
    <s v="P106"/>
    <n v="3"/>
    <n v="500"/>
    <n v="0.1"/>
    <x v="7"/>
    <x v="0"/>
    <n v="320"/>
    <n v="1350"/>
    <n v="960"/>
    <n v="390"/>
    <x v="7"/>
  </r>
  <r>
    <x v="421"/>
    <d v="2025-09-27T00:00:00"/>
    <s v="Customer 042"/>
    <x v="0"/>
    <x v="0"/>
    <s v="P105"/>
    <n v="2"/>
    <n v="900"/>
    <n v="0"/>
    <x v="4"/>
    <x v="0"/>
    <n v="600"/>
    <n v="1800"/>
    <n v="1200"/>
    <n v="600"/>
    <x v="1"/>
  </r>
  <r>
    <x v="422"/>
    <d v="2025-01-09T00:00:00"/>
    <s v="Customer 033"/>
    <x v="1"/>
    <x v="1"/>
    <s v="P105"/>
    <n v="13"/>
    <n v="900"/>
    <n v="0.15"/>
    <x v="4"/>
    <x v="0"/>
    <n v="600"/>
    <n v="9945"/>
    <n v="7800"/>
    <n v="2145"/>
    <x v="9"/>
  </r>
  <r>
    <x v="423"/>
    <d v="2025-03-24T00:00:00"/>
    <s v="Customer 051"/>
    <x v="3"/>
    <x v="3"/>
    <s v="P102"/>
    <n v="5"/>
    <n v="18000"/>
    <n v="0.05"/>
    <x v="3"/>
    <x v="1"/>
    <n v="13500"/>
    <n v="85500"/>
    <n v="67500"/>
    <n v="18000"/>
    <x v="7"/>
  </r>
  <r>
    <x v="424"/>
    <d v="2025-06-29T00:00:00"/>
    <s v="Customer 010"/>
    <x v="0"/>
    <x v="7"/>
    <s v="P108"/>
    <n v="1"/>
    <n v="1500"/>
    <n v="0"/>
    <x v="0"/>
    <x v="0"/>
    <n v="980"/>
    <n v="1500"/>
    <n v="980"/>
    <n v="520"/>
    <x v="4"/>
  </r>
  <r>
    <x v="425"/>
    <d v="2025-12-14T00:00:00"/>
    <s v="Customer 026"/>
    <x v="1"/>
    <x v="1"/>
    <s v="P108"/>
    <n v="13"/>
    <n v="1500"/>
    <n v="0.1"/>
    <x v="0"/>
    <x v="0"/>
    <n v="980"/>
    <n v="17550"/>
    <n v="12740"/>
    <n v="4810"/>
    <x v="11"/>
  </r>
  <r>
    <x v="426"/>
    <d v="2025-05-25T00:00:00"/>
    <s v="Customer 048"/>
    <x v="2"/>
    <x v="2"/>
    <s v="P101"/>
    <n v="3"/>
    <n v="55000"/>
    <n v="0.05"/>
    <x v="5"/>
    <x v="1"/>
    <n v="41000"/>
    <n v="156750"/>
    <n v="123000"/>
    <n v="33750"/>
    <x v="8"/>
  </r>
  <r>
    <x v="427"/>
    <d v="2025-01-11T00:00:00"/>
    <s v="Customer 040"/>
    <x v="1"/>
    <x v="1"/>
    <s v="P104"/>
    <n v="7"/>
    <n v="8000"/>
    <n v="0.05"/>
    <x v="6"/>
    <x v="1"/>
    <n v="6200"/>
    <n v="53200"/>
    <n v="43400"/>
    <n v="9800"/>
    <x v="9"/>
  </r>
  <r>
    <x v="428"/>
    <d v="2025-08-27T00:00:00"/>
    <s v="Customer 011"/>
    <x v="1"/>
    <x v="5"/>
    <s v="P103"/>
    <n v="6"/>
    <n v="12000"/>
    <n v="0"/>
    <x v="1"/>
    <x v="1"/>
    <n v="9000"/>
    <n v="72000"/>
    <n v="54000"/>
    <n v="18000"/>
    <x v="0"/>
  </r>
  <r>
    <x v="429"/>
    <d v="2025-01-22T00:00:00"/>
    <s v="Customer 036"/>
    <x v="3"/>
    <x v="3"/>
    <s v="P105"/>
    <n v="14"/>
    <n v="900"/>
    <n v="0.1"/>
    <x v="4"/>
    <x v="0"/>
    <n v="600"/>
    <n v="11340"/>
    <n v="8400"/>
    <n v="2940"/>
    <x v="9"/>
  </r>
  <r>
    <x v="430"/>
    <d v="2025-12-19T00:00:00"/>
    <s v="Customer 021"/>
    <x v="0"/>
    <x v="0"/>
    <s v="P105"/>
    <n v="10"/>
    <n v="900"/>
    <n v="0.15"/>
    <x v="4"/>
    <x v="0"/>
    <n v="600"/>
    <n v="7650"/>
    <n v="6000"/>
    <n v="1650"/>
    <x v="11"/>
  </r>
  <r>
    <x v="431"/>
    <d v="2025-07-02T00:00:00"/>
    <s v="Customer 038"/>
    <x v="2"/>
    <x v="4"/>
    <s v="P107"/>
    <n v="7"/>
    <n v="2000"/>
    <n v="0.1"/>
    <x v="2"/>
    <x v="0"/>
    <n v="1300"/>
    <n v="12600"/>
    <n v="9100"/>
    <n v="3500"/>
    <x v="5"/>
  </r>
  <r>
    <x v="432"/>
    <d v="2025-05-12T00:00:00"/>
    <s v="Customer 060"/>
    <x v="3"/>
    <x v="6"/>
    <s v="P108"/>
    <n v="4"/>
    <n v="1500"/>
    <n v="0.15"/>
    <x v="0"/>
    <x v="0"/>
    <n v="980"/>
    <n v="5100"/>
    <n v="3920"/>
    <n v="1180"/>
    <x v="8"/>
  </r>
  <r>
    <x v="433"/>
    <d v="2025-08-28T00:00:00"/>
    <s v="Customer 021"/>
    <x v="3"/>
    <x v="6"/>
    <s v="P103"/>
    <n v="15"/>
    <n v="12000"/>
    <n v="0.15"/>
    <x v="1"/>
    <x v="1"/>
    <n v="9000"/>
    <n v="153000"/>
    <n v="135000"/>
    <n v="18000"/>
    <x v="0"/>
  </r>
  <r>
    <x v="434"/>
    <d v="2025-10-12T00:00:00"/>
    <s v="Customer 019"/>
    <x v="0"/>
    <x v="0"/>
    <s v="P103"/>
    <n v="12"/>
    <n v="12000"/>
    <n v="0"/>
    <x v="1"/>
    <x v="1"/>
    <n v="9000"/>
    <n v="144000"/>
    <n v="108000"/>
    <n v="36000"/>
    <x v="10"/>
  </r>
  <r>
    <x v="435"/>
    <d v="2025-11-21T00:00:00"/>
    <s v="Customer 008"/>
    <x v="1"/>
    <x v="5"/>
    <s v="P106"/>
    <n v="8"/>
    <n v="500"/>
    <n v="0.1"/>
    <x v="7"/>
    <x v="0"/>
    <n v="320"/>
    <n v="3600"/>
    <n v="2560"/>
    <n v="1040"/>
    <x v="3"/>
  </r>
  <r>
    <x v="436"/>
    <d v="2025-09-21T00:00:00"/>
    <s v="Customer 026"/>
    <x v="0"/>
    <x v="7"/>
    <s v="P101"/>
    <n v="11"/>
    <n v="55000"/>
    <n v="0.05"/>
    <x v="5"/>
    <x v="1"/>
    <n v="41000"/>
    <n v="574750"/>
    <n v="451000"/>
    <n v="123750"/>
    <x v="1"/>
  </r>
  <r>
    <x v="437"/>
    <d v="2025-09-12T00:00:00"/>
    <s v="Customer 032"/>
    <x v="0"/>
    <x v="7"/>
    <s v="P101"/>
    <n v="2"/>
    <n v="55000"/>
    <n v="0"/>
    <x v="5"/>
    <x v="1"/>
    <n v="41000"/>
    <n v="110000"/>
    <n v="82000"/>
    <n v="28000"/>
    <x v="1"/>
  </r>
  <r>
    <x v="438"/>
    <d v="2025-02-01T00:00:00"/>
    <s v="Customer 029"/>
    <x v="2"/>
    <x v="2"/>
    <s v="P101"/>
    <n v="5"/>
    <n v="55000"/>
    <n v="0.1"/>
    <x v="5"/>
    <x v="1"/>
    <n v="41000"/>
    <n v="247500"/>
    <n v="205000"/>
    <n v="42500"/>
    <x v="2"/>
  </r>
  <r>
    <x v="439"/>
    <d v="2025-02-13T00:00:00"/>
    <s v="Customer 054"/>
    <x v="3"/>
    <x v="3"/>
    <s v="P101"/>
    <n v="4"/>
    <n v="55000"/>
    <n v="0.1"/>
    <x v="5"/>
    <x v="1"/>
    <n v="41000"/>
    <n v="198000"/>
    <n v="164000"/>
    <n v="34000"/>
    <x v="2"/>
  </r>
  <r>
    <x v="440"/>
    <d v="2025-01-22T00:00:00"/>
    <s v="Customer 033"/>
    <x v="3"/>
    <x v="6"/>
    <s v="P104"/>
    <n v="15"/>
    <n v="8000"/>
    <n v="0.15"/>
    <x v="6"/>
    <x v="1"/>
    <n v="6200"/>
    <n v="102000"/>
    <n v="93000"/>
    <n v="9000"/>
    <x v="9"/>
  </r>
  <r>
    <x v="441"/>
    <d v="2025-08-07T00:00:00"/>
    <s v="Customer 055"/>
    <x v="3"/>
    <x v="3"/>
    <s v="P101"/>
    <n v="2"/>
    <n v="55000"/>
    <n v="0.05"/>
    <x v="5"/>
    <x v="1"/>
    <n v="41000"/>
    <n v="104500"/>
    <n v="82000"/>
    <n v="22500"/>
    <x v="0"/>
  </r>
  <r>
    <x v="442"/>
    <d v="2025-03-19T00:00:00"/>
    <s v="Customer 033"/>
    <x v="3"/>
    <x v="3"/>
    <s v="P106"/>
    <n v="14"/>
    <n v="500"/>
    <n v="0.15"/>
    <x v="7"/>
    <x v="0"/>
    <n v="320"/>
    <n v="5950"/>
    <n v="4480"/>
    <n v="1470"/>
    <x v="7"/>
  </r>
  <r>
    <x v="443"/>
    <d v="2025-04-11T00:00:00"/>
    <s v="Customer 043"/>
    <x v="2"/>
    <x v="2"/>
    <s v="P108"/>
    <n v="13"/>
    <n v="1500"/>
    <n v="0"/>
    <x v="0"/>
    <x v="0"/>
    <n v="980"/>
    <n v="19500"/>
    <n v="12740"/>
    <n v="6760"/>
    <x v="6"/>
  </r>
  <r>
    <x v="444"/>
    <d v="2025-12-17T00:00:00"/>
    <s v="Customer 052"/>
    <x v="2"/>
    <x v="2"/>
    <s v="P105"/>
    <n v="13"/>
    <n v="900"/>
    <n v="0"/>
    <x v="4"/>
    <x v="0"/>
    <n v="600"/>
    <n v="11700"/>
    <n v="7800"/>
    <n v="3900"/>
    <x v="11"/>
  </r>
  <r>
    <x v="445"/>
    <d v="2025-03-02T00:00:00"/>
    <s v="Customer 003"/>
    <x v="0"/>
    <x v="0"/>
    <s v="P105"/>
    <n v="12"/>
    <n v="900"/>
    <n v="0"/>
    <x v="4"/>
    <x v="0"/>
    <n v="600"/>
    <n v="10800"/>
    <n v="7200"/>
    <n v="3600"/>
    <x v="7"/>
  </r>
  <r>
    <x v="446"/>
    <d v="2025-09-20T00:00:00"/>
    <s v="Customer 040"/>
    <x v="3"/>
    <x v="3"/>
    <s v="P108"/>
    <n v="13"/>
    <n v="1500"/>
    <n v="0.15"/>
    <x v="0"/>
    <x v="0"/>
    <n v="980"/>
    <n v="16575"/>
    <n v="12740"/>
    <n v="3835"/>
    <x v="1"/>
  </r>
  <r>
    <x v="447"/>
    <d v="2025-11-26T00:00:00"/>
    <s v="Customer 019"/>
    <x v="1"/>
    <x v="5"/>
    <s v="P103"/>
    <n v="2"/>
    <n v="12000"/>
    <n v="0"/>
    <x v="1"/>
    <x v="1"/>
    <n v="9000"/>
    <n v="24000"/>
    <n v="18000"/>
    <n v="6000"/>
    <x v="3"/>
  </r>
  <r>
    <x v="448"/>
    <d v="2025-06-09T00:00:00"/>
    <s v="Customer 050"/>
    <x v="3"/>
    <x v="3"/>
    <s v="P103"/>
    <n v="10"/>
    <n v="12000"/>
    <n v="0.15"/>
    <x v="1"/>
    <x v="1"/>
    <n v="9000"/>
    <n v="102000"/>
    <n v="90000"/>
    <n v="12000"/>
    <x v="4"/>
  </r>
  <r>
    <x v="449"/>
    <d v="2025-12-29T00:00:00"/>
    <s v="Customer 050"/>
    <x v="2"/>
    <x v="4"/>
    <s v="P101"/>
    <n v="7"/>
    <n v="55000"/>
    <n v="0.05"/>
    <x v="5"/>
    <x v="1"/>
    <n v="41000"/>
    <n v="365750"/>
    <n v="287000"/>
    <n v="78750"/>
    <x v="11"/>
  </r>
  <r>
    <x v="450"/>
    <d v="2025-01-02T00:00:00"/>
    <s v="Customer 015"/>
    <x v="3"/>
    <x v="3"/>
    <s v="P108"/>
    <n v="11"/>
    <n v="1500"/>
    <n v="0.05"/>
    <x v="0"/>
    <x v="0"/>
    <n v="980"/>
    <n v="15675"/>
    <n v="10780"/>
    <n v="4895"/>
    <x v="9"/>
  </r>
  <r>
    <x v="451"/>
    <d v="2025-12-31T00:00:00"/>
    <s v="Customer 032"/>
    <x v="3"/>
    <x v="6"/>
    <s v="P101"/>
    <n v="1"/>
    <n v="55000"/>
    <n v="0"/>
    <x v="5"/>
    <x v="1"/>
    <n v="41000"/>
    <n v="55000"/>
    <n v="41000"/>
    <n v="14000"/>
    <x v="11"/>
  </r>
  <r>
    <x v="452"/>
    <d v="2025-04-29T00:00:00"/>
    <s v="Customer 021"/>
    <x v="1"/>
    <x v="5"/>
    <s v="P103"/>
    <n v="9"/>
    <n v="12000"/>
    <n v="0.05"/>
    <x v="1"/>
    <x v="1"/>
    <n v="9000"/>
    <n v="102600"/>
    <n v="81000"/>
    <n v="21600"/>
    <x v="6"/>
  </r>
  <r>
    <x v="453"/>
    <d v="2025-05-20T00:00:00"/>
    <s v="Customer 044"/>
    <x v="2"/>
    <x v="2"/>
    <s v="P101"/>
    <n v="11"/>
    <n v="55000"/>
    <n v="0"/>
    <x v="5"/>
    <x v="1"/>
    <n v="41000"/>
    <n v="605000"/>
    <n v="451000"/>
    <n v="154000"/>
    <x v="8"/>
  </r>
  <r>
    <x v="454"/>
    <d v="2025-06-19T00:00:00"/>
    <s v="Customer 019"/>
    <x v="3"/>
    <x v="3"/>
    <s v="P101"/>
    <n v="15"/>
    <n v="55000"/>
    <n v="0"/>
    <x v="5"/>
    <x v="1"/>
    <n v="41000"/>
    <n v="825000"/>
    <n v="615000"/>
    <n v="210000"/>
    <x v="4"/>
  </r>
  <r>
    <x v="455"/>
    <d v="2025-08-26T00:00:00"/>
    <s v="Customer 014"/>
    <x v="1"/>
    <x v="5"/>
    <s v="P106"/>
    <n v="2"/>
    <n v="500"/>
    <n v="0"/>
    <x v="7"/>
    <x v="0"/>
    <n v="320"/>
    <n v="1000"/>
    <n v="640"/>
    <n v="360"/>
    <x v="0"/>
  </r>
  <r>
    <x v="456"/>
    <d v="2025-02-03T00:00:00"/>
    <s v="Customer 035"/>
    <x v="1"/>
    <x v="1"/>
    <s v="P102"/>
    <n v="14"/>
    <n v="18000"/>
    <n v="0.15"/>
    <x v="3"/>
    <x v="1"/>
    <n v="13500"/>
    <n v="214200"/>
    <n v="189000"/>
    <n v="25200"/>
    <x v="2"/>
  </r>
  <r>
    <x v="457"/>
    <d v="2025-08-31T00:00:00"/>
    <s v="Customer 024"/>
    <x v="2"/>
    <x v="2"/>
    <s v="P105"/>
    <n v="4"/>
    <n v="900"/>
    <n v="0.1"/>
    <x v="4"/>
    <x v="0"/>
    <n v="600"/>
    <n v="3240"/>
    <n v="2400"/>
    <n v="840"/>
    <x v="0"/>
  </r>
  <r>
    <x v="458"/>
    <d v="2025-06-01T00:00:00"/>
    <s v="Customer 051"/>
    <x v="0"/>
    <x v="7"/>
    <s v="P104"/>
    <n v="7"/>
    <n v="8000"/>
    <n v="0"/>
    <x v="6"/>
    <x v="1"/>
    <n v="6200"/>
    <n v="56000"/>
    <n v="43400"/>
    <n v="12600"/>
    <x v="4"/>
  </r>
  <r>
    <x v="459"/>
    <d v="2025-02-10T00:00:00"/>
    <s v="Customer 044"/>
    <x v="1"/>
    <x v="5"/>
    <s v="P107"/>
    <n v="7"/>
    <n v="2000"/>
    <n v="0.05"/>
    <x v="2"/>
    <x v="0"/>
    <n v="1300"/>
    <n v="13300"/>
    <n v="9100"/>
    <n v="4200"/>
    <x v="2"/>
  </r>
  <r>
    <x v="460"/>
    <d v="2025-11-19T00:00:00"/>
    <s v="Customer 006"/>
    <x v="3"/>
    <x v="6"/>
    <s v="P107"/>
    <n v="1"/>
    <n v="2000"/>
    <n v="0.1"/>
    <x v="2"/>
    <x v="0"/>
    <n v="1300"/>
    <n v="1800"/>
    <n v="1300"/>
    <n v="500"/>
    <x v="3"/>
  </r>
  <r>
    <x v="461"/>
    <d v="2025-04-04T00:00:00"/>
    <s v="Customer 018"/>
    <x v="1"/>
    <x v="5"/>
    <s v="P103"/>
    <n v="3"/>
    <n v="12000"/>
    <n v="0.1"/>
    <x v="1"/>
    <x v="1"/>
    <n v="9000"/>
    <n v="32400"/>
    <n v="27000"/>
    <n v="5400"/>
    <x v="6"/>
  </r>
  <r>
    <x v="462"/>
    <d v="2025-05-18T00:00:00"/>
    <s v="Customer 028"/>
    <x v="1"/>
    <x v="1"/>
    <s v="P101"/>
    <n v="8"/>
    <n v="55000"/>
    <n v="0"/>
    <x v="5"/>
    <x v="1"/>
    <n v="41000"/>
    <n v="440000"/>
    <n v="328000"/>
    <n v="112000"/>
    <x v="8"/>
  </r>
  <r>
    <x v="463"/>
    <d v="2025-09-01T00:00:00"/>
    <s v="Customer 036"/>
    <x v="2"/>
    <x v="2"/>
    <s v="P105"/>
    <n v="15"/>
    <n v="900"/>
    <n v="0"/>
    <x v="4"/>
    <x v="0"/>
    <n v="600"/>
    <n v="13500"/>
    <n v="9000"/>
    <n v="4500"/>
    <x v="1"/>
  </r>
  <r>
    <x v="464"/>
    <d v="2025-01-02T00:00:00"/>
    <s v="Customer 029"/>
    <x v="3"/>
    <x v="6"/>
    <s v="P108"/>
    <n v="12"/>
    <n v="1500"/>
    <n v="0.1"/>
    <x v="0"/>
    <x v="0"/>
    <n v="980"/>
    <n v="16200"/>
    <n v="11760"/>
    <n v="4440"/>
    <x v="9"/>
  </r>
  <r>
    <x v="465"/>
    <d v="2025-08-06T00:00:00"/>
    <s v="Customer 016"/>
    <x v="0"/>
    <x v="7"/>
    <s v="P104"/>
    <n v="7"/>
    <n v="8000"/>
    <n v="0.15"/>
    <x v="6"/>
    <x v="1"/>
    <n v="6200"/>
    <n v="47600"/>
    <n v="43400"/>
    <n v="4200"/>
    <x v="0"/>
  </r>
  <r>
    <x v="466"/>
    <d v="2025-01-24T00:00:00"/>
    <s v="Customer 037"/>
    <x v="1"/>
    <x v="5"/>
    <s v="P103"/>
    <n v="4"/>
    <n v="12000"/>
    <n v="0"/>
    <x v="1"/>
    <x v="1"/>
    <n v="9000"/>
    <n v="48000"/>
    <n v="36000"/>
    <n v="12000"/>
    <x v="9"/>
  </r>
  <r>
    <x v="467"/>
    <d v="2025-07-26T00:00:00"/>
    <s v="Customer 026"/>
    <x v="1"/>
    <x v="5"/>
    <s v="P107"/>
    <n v="2"/>
    <n v="2000"/>
    <n v="0.15"/>
    <x v="2"/>
    <x v="0"/>
    <n v="1300"/>
    <n v="3400"/>
    <n v="2600"/>
    <n v="800"/>
    <x v="5"/>
  </r>
  <r>
    <x v="468"/>
    <d v="2025-11-13T00:00:00"/>
    <s v="Customer 032"/>
    <x v="1"/>
    <x v="5"/>
    <s v="P104"/>
    <n v="4"/>
    <n v="8000"/>
    <n v="0.15"/>
    <x v="6"/>
    <x v="1"/>
    <n v="6200"/>
    <n v="27200"/>
    <n v="24800"/>
    <n v="2400"/>
    <x v="3"/>
  </r>
  <r>
    <x v="469"/>
    <d v="2025-11-23T00:00:00"/>
    <s v="Customer 015"/>
    <x v="1"/>
    <x v="5"/>
    <s v="P106"/>
    <n v="5"/>
    <n v="500"/>
    <n v="0"/>
    <x v="7"/>
    <x v="0"/>
    <n v="320"/>
    <n v="2500"/>
    <n v="1600"/>
    <n v="900"/>
    <x v="3"/>
  </r>
  <r>
    <x v="470"/>
    <d v="2025-07-24T00:00:00"/>
    <s v="Customer 046"/>
    <x v="2"/>
    <x v="4"/>
    <s v="P105"/>
    <n v="1"/>
    <n v="900"/>
    <n v="0"/>
    <x v="4"/>
    <x v="0"/>
    <n v="600"/>
    <n v="900"/>
    <n v="600"/>
    <n v="300"/>
    <x v="5"/>
  </r>
  <r>
    <x v="471"/>
    <d v="2025-08-18T00:00:00"/>
    <s v="Customer 014"/>
    <x v="2"/>
    <x v="4"/>
    <s v="P106"/>
    <n v="11"/>
    <n v="500"/>
    <n v="0.05"/>
    <x v="7"/>
    <x v="0"/>
    <n v="320"/>
    <n v="5225"/>
    <n v="3520"/>
    <n v="1705"/>
    <x v="0"/>
  </r>
  <r>
    <x v="472"/>
    <d v="2025-08-11T00:00:00"/>
    <s v="Customer 027"/>
    <x v="3"/>
    <x v="3"/>
    <s v="P104"/>
    <n v="10"/>
    <n v="8000"/>
    <n v="0"/>
    <x v="6"/>
    <x v="1"/>
    <n v="6200"/>
    <n v="80000"/>
    <n v="62000"/>
    <n v="18000"/>
    <x v="0"/>
  </r>
  <r>
    <x v="473"/>
    <d v="2025-11-15T00:00:00"/>
    <s v="Customer 041"/>
    <x v="1"/>
    <x v="5"/>
    <s v="P108"/>
    <n v="12"/>
    <n v="1500"/>
    <n v="0.05"/>
    <x v="0"/>
    <x v="0"/>
    <n v="980"/>
    <n v="17100"/>
    <n v="11760"/>
    <n v="5340"/>
    <x v="3"/>
  </r>
  <r>
    <x v="474"/>
    <d v="2025-12-04T00:00:00"/>
    <s v="Customer 005"/>
    <x v="0"/>
    <x v="0"/>
    <s v="P107"/>
    <n v="15"/>
    <n v="2000"/>
    <n v="0.15"/>
    <x v="2"/>
    <x v="0"/>
    <n v="1300"/>
    <n v="25500"/>
    <n v="19500"/>
    <n v="6000"/>
    <x v="11"/>
  </r>
  <r>
    <x v="475"/>
    <d v="2025-06-01T00:00:00"/>
    <s v="Customer 042"/>
    <x v="2"/>
    <x v="4"/>
    <s v="P108"/>
    <n v="7"/>
    <n v="1500"/>
    <n v="0"/>
    <x v="0"/>
    <x v="0"/>
    <n v="980"/>
    <n v="10500"/>
    <n v="6860"/>
    <n v="3640"/>
    <x v="4"/>
  </r>
  <r>
    <x v="476"/>
    <d v="2025-04-26T00:00:00"/>
    <s v="Customer 026"/>
    <x v="1"/>
    <x v="1"/>
    <s v="P106"/>
    <n v="10"/>
    <n v="500"/>
    <n v="0.15"/>
    <x v="7"/>
    <x v="0"/>
    <n v="320"/>
    <n v="4250"/>
    <n v="3200"/>
    <n v="1050"/>
    <x v="6"/>
  </r>
  <r>
    <x v="477"/>
    <d v="2025-08-02T00:00:00"/>
    <s v="Customer 040"/>
    <x v="3"/>
    <x v="3"/>
    <s v="P107"/>
    <n v="5"/>
    <n v="2000"/>
    <n v="0"/>
    <x v="2"/>
    <x v="0"/>
    <n v="1300"/>
    <n v="10000"/>
    <n v="6500"/>
    <n v="3500"/>
    <x v="0"/>
  </r>
  <r>
    <x v="478"/>
    <d v="2025-04-24T00:00:00"/>
    <s v="Customer 059"/>
    <x v="0"/>
    <x v="7"/>
    <s v="P105"/>
    <n v="4"/>
    <n v="900"/>
    <n v="0.15"/>
    <x v="4"/>
    <x v="0"/>
    <n v="600"/>
    <n v="3060"/>
    <n v="2400"/>
    <n v="660"/>
    <x v="6"/>
  </r>
  <r>
    <x v="479"/>
    <d v="2025-01-31T00:00:00"/>
    <s v="Customer 054"/>
    <x v="0"/>
    <x v="7"/>
    <s v="P101"/>
    <n v="14"/>
    <n v="55000"/>
    <n v="0"/>
    <x v="5"/>
    <x v="1"/>
    <n v="41000"/>
    <n v="770000"/>
    <n v="574000"/>
    <n v="196000"/>
    <x v="9"/>
  </r>
  <r>
    <x v="480"/>
    <d v="2025-02-04T00:00:00"/>
    <s v="Customer 017"/>
    <x v="3"/>
    <x v="3"/>
    <s v="P106"/>
    <n v="10"/>
    <n v="500"/>
    <n v="0.05"/>
    <x v="7"/>
    <x v="0"/>
    <n v="320"/>
    <n v="4750"/>
    <n v="3200"/>
    <n v="1550"/>
    <x v="2"/>
  </r>
  <r>
    <x v="481"/>
    <d v="2025-12-28T00:00:00"/>
    <s v="Customer 049"/>
    <x v="0"/>
    <x v="7"/>
    <s v="P103"/>
    <n v="1"/>
    <n v="12000"/>
    <n v="0"/>
    <x v="1"/>
    <x v="1"/>
    <n v="9000"/>
    <n v="12000"/>
    <n v="9000"/>
    <n v="3000"/>
    <x v="11"/>
  </r>
  <r>
    <x v="482"/>
    <d v="2025-09-18T00:00:00"/>
    <s v="Customer 022"/>
    <x v="1"/>
    <x v="5"/>
    <s v="P105"/>
    <n v="13"/>
    <n v="900"/>
    <n v="0.1"/>
    <x v="4"/>
    <x v="0"/>
    <n v="600"/>
    <n v="10530"/>
    <n v="7800"/>
    <n v="2730"/>
    <x v="1"/>
  </r>
  <r>
    <x v="483"/>
    <d v="2025-06-17T00:00:00"/>
    <s v="Customer 019"/>
    <x v="2"/>
    <x v="4"/>
    <s v="P108"/>
    <n v="11"/>
    <n v="1500"/>
    <n v="0.05"/>
    <x v="0"/>
    <x v="0"/>
    <n v="980"/>
    <n v="15675"/>
    <n v="10780"/>
    <n v="4895"/>
    <x v="4"/>
  </r>
  <r>
    <x v="484"/>
    <d v="2025-12-13T00:00:00"/>
    <s v="Customer 030"/>
    <x v="2"/>
    <x v="4"/>
    <s v="P102"/>
    <n v="10"/>
    <n v="18000"/>
    <n v="0"/>
    <x v="3"/>
    <x v="1"/>
    <n v="13500"/>
    <n v="180000"/>
    <n v="135000"/>
    <n v="45000"/>
    <x v="11"/>
  </r>
  <r>
    <x v="485"/>
    <d v="2025-09-29T00:00:00"/>
    <s v="Customer 028"/>
    <x v="0"/>
    <x v="0"/>
    <s v="P101"/>
    <n v="5"/>
    <n v="55000"/>
    <n v="0"/>
    <x v="5"/>
    <x v="1"/>
    <n v="41000"/>
    <n v="275000"/>
    <n v="205000"/>
    <n v="70000"/>
    <x v="1"/>
  </r>
  <r>
    <x v="486"/>
    <d v="2025-02-08T00:00:00"/>
    <s v="Customer 011"/>
    <x v="1"/>
    <x v="5"/>
    <s v="P105"/>
    <n v="9"/>
    <n v="900"/>
    <n v="0.15"/>
    <x v="4"/>
    <x v="0"/>
    <n v="600"/>
    <n v="6885"/>
    <n v="5400"/>
    <n v="1485"/>
    <x v="2"/>
  </r>
  <r>
    <x v="487"/>
    <d v="2025-04-21T00:00:00"/>
    <s v="Customer 038"/>
    <x v="0"/>
    <x v="0"/>
    <s v="P105"/>
    <n v="3"/>
    <n v="900"/>
    <n v="0"/>
    <x v="4"/>
    <x v="0"/>
    <n v="600"/>
    <n v="2700"/>
    <n v="1800"/>
    <n v="900"/>
    <x v="6"/>
  </r>
  <r>
    <x v="488"/>
    <d v="2025-10-04T00:00:00"/>
    <s v="Customer 010"/>
    <x v="3"/>
    <x v="3"/>
    <s v="P107"/>
    <n v="11"/>
    <n v="2000"/>
    <n v="0.05"/>
    <x v="2"/>
    <x v="0"/>
    <n v="1300"/>
    <n v="20900"/>
    <n v="14300"/>
    <n v="6600"/>
    <x v="10"/>
  </r>
  <r>
    <x v="489"/>
    <d v="2025-11-17T00:00:00"/>
    <s v="Customer 008"/>
    <x v="2"/>
    <x v="2"/>
    <s v="P104"/>
    <n v="3"/>
    <n v="8000"/>
    <n v="0"/>
    <x v="6"/>
    <x v="1"/>
    <n v="6200"/>
    <n v="24000"/>
    <n v="18600"/>
    <n v="5400"/>
    <x v="3"/>
  </r>
  <r>
    <x v="490"/>
    <d v="2025-11-23T00:00:00"/>
    <s v="Customer 032"/>
    <x v="1"/>
    <x v="1"/>
    <s v="P104"/>
    <n v="5"/>
    <n v="8000"/>
    <n v="0"/>
    <x v="6"/>
    <x v="1"/>
    <n v="6200"/>
    <n v="40000"/>
    <n v="31000"/>
    <n v="9000"/>
    <x v="3"/>
  </r>
  <r>
    <x v="491"/>
    <d v="2025-12-23T00:00:00"/>
    <s v="Customer 014"/>
    <x v="1"/>
    <x v="5"/>
    <s v="P105"/>
    <n v="14"/>
    <n v="900"/>
    <n v="0"/>
    <x v="4"/>
    <x v="0"/>
    <n v="600"/>
    <n v="12600"/>
    <n v="8400"/>
    <n v="4200"/>
    <x v="11"/>
  </r>
  <r>
    <x v="492"/>
    <d v="2025-12-25T00:00:00"/>
    <s v="Customer 055"/>
    <x v="3"/>
    <x v="3"/>
    <s v="P106"/>
    <n v="13"/>
    <n v="500"/>
    <n v="0"/>
    <x v="7"/>
    <x v="0"/>
    <n v="320"/>
    <n v="6500"/>
    <n v="4160"/>
    <n v="2340"/>
    <x v="11"/>
  </r>
  <r>
    <x v="493"/>
    <d v="2025-12-26T00:00:00"/>
    <s v="Customer 019"/>
    <x v="3"/>
    <x v="3"/>
    <s v="P199"/>
    <n v="8"/>
    <n v="55000"/>
    <n v="0.1"/>
    <x v="8"/>
    <x v="2"/>
    <n v="0"/>
    <n v="396000"/>
    <n v="0"/>
    <n v="396000"/>
    <x v="11"/>
  </r>
  <r>
    <x v="494"/>
    <d v="2025-04-25T00:00:00"/>
    <s v="Customer 059"/>
    <x v="2"/>
    <x v="4"/>
    <s v="P106"/>
    <n v="3"/>
    <n v="500"/>
    <n v="0.15"/>
    <x v="7"/>
    <x v="0"/>
    <n v="320"/>
    <n v="1275"/>
    <n v="960"/>
    <n v="315"/>
    <x v="6"/>
  </r>
  <r>
    <x v="495"/>
    <d v="2025-08-14T00:00:00"/>
    <s v="Customer 059"/>
    <x v="0"/>
    <x v="0"/>
    <s v="P103"/>
    <n v="14"/>
    <n v="12000"/>
    <n v="0"/>
    <x v="1"/>
    <x v="1"/>
    <n v="9000"/>
    <n v="168000"/>
    <n v="126000"/>
    <n v="42000"/>
    <x v="0"/>
  </r>
  <r>
    <x v="496"/>
    <d v="2025-08-31T00:00:00"/>
    <s v="Customer 056"/>
    <x v="3"/>
    <x v="6"/>
    <s v="P106"/>
    <n v="4"/>
    <n v="500"/>
    <n v="0"/>
    <x v="7"/>
    <x v="0"/>
    <n v="320"/>
    <n v="2000"/>
    <n v="1280"/>
    <n v="720"/>
    <x v="0"/>
  </r>
  <r>
    <x v="497"/>
    <d v="2025-09-03T00:00:00"/>
    <s v="Customer 046"/>
    <x v="3"/>
    <x v="6"/>
    <s v="P101"/>
    <n v="4"/>
    <n v="55000"/>
    <n v="0.05"/>
    <x v="5"/>
    <x v="1"/>
    <n v="41000"/>
    <n v="209000"/>
    <n v="164000"/>
    <n v="45000"/>
    <x v="1"/>
  </r>
  <r>
    <x v="498"/>
    <d v="2025-12-23T00:00:00"/>
    <s v="Customer 003"/>
    <x v="1"/>
    <x v="5"/>
    <s v="P101"/>
    <n v="2"/>
    <n v="55000"/>
    <n v="0"/>
    <x v="5"/>
    <x v="1"/>
    <n v="41000"/>
    <n v="110000"/>
    <n v="82000"/>
    <n v="28000"/>
    <x v="11"/>
  </r>
  <r>
    <x v="499"/>
    <d v="2025-09-09T00:00:00"/>
    <s v="Customer 027"/>
    <x v="0"/>
    <x v="0"/>
    <s v="P102"/>
    <n v="13"/>
    <n v="18000"/>
    <n v="0"/>
    <x v="3"/>
    <x v="1"/>
    <n v="13500"/>
    <n v="234000"/>
    <n v="175500"/>
    <n v="58500"/>
    <x v="1"/>
  </r>
  <r>
    <x v="500"/>
    <d v="2025-12-23T00:00:00"/>
    <s v="Customer 010"/>
    <x v="2"/>
    <x v="4"/>
    <s v="P105"/>
    <n v="1"/>
    <n v="900"/>
    <n v="0.15"/>
    <x v="4"/>
    <x v="0"/>
    <n v="600"/>
    <n v="765"/>
    <n v="600"/>
    <n v="165"/>
    <x v="11"/>
  </r>
  <r>
    <x v="501"/>
    <d v="2025-01-28T00:00:00"/>
    <s v="Customer 002"/>
    <x v="0"/>
    <x v="7"/>
    <s v="P105"/>
    <n v="4"/>
    <n v="900"/>
    <n v="0.1"/>
    <x v="4"/>
    <x v="0"/>
    <n v="600"/>
    <n v="3240"/>
    <n v="2400"/>
    <n v="840"/>
    <x v="9"/>
  </r>
  <r>
    <x v="502"/>
    <d v="2025-05-08T00:00:00"/>
    <s v="Customer 020"/>
    <x v="3"/>
    <x v="3"/>
    <s v="P101"/>
    <n v="4"/>
    <n v="55000"/>
    <n v="0"/>
    <x v="5"/>
    <x v="1"/>
    <n v="41000"/>
    <n v="220000"/>
    <n v="164000"/>
    <n v="56000"/>
    <x v="8"/>
  </r>
  <r>
    <x v="503"/>
    <d v="2025-01-08T00:00:00"/>
    <s v="Customer 038"/>
    <x v="1"/>
    <x v="1"/>
    <s v="P106"/>
    <n v="5"/>
    <n v="500"/>
    <n v="0.05"/>
    <x v="7"/>
    <x v="0"/>
    <n v="320"/>
    <n v="2375"/>
    <n v="1600"/>
    <n v="775"/>
    <x v="9"/>
  </r>
  <r>
    <x v="504"/>
    <d v="2025-05-18T00:00:00"/>
    <s v="Customer 031"/>
    <x v="2"/>
    <x v="2"/>
    <s v="P102"/>
    <n v="3"/>
    <n v="18000"/>
    <n v="0"/>
    <x v="3"/>
    <x v="1"/>
    <n v="13500"/>
    <n v="54000"/>
    <n v="40500"/>
    <n v="13500"/>
    <x v="8"/>
  </r>
  <r>
    <x v="505"/>
    <d v="2025-06-09T00:00:00"/>
    <s v="Customer 024"/>
    <x v="0"/>
    <x v="7"/>
    <s v="P104"/>
    <n v="7"/>
    <n v="8000"/>
    <n v="0.05"/>
    <x v="6"/>
    <x v="1"/>
    <n v="6200"/>
    <n v="53200"/>
    <n v="43400"/>
    <n v="9800"/>
    <x v="4"/>
  </r>
  <r>
    <x v="506"/>
    <d v="2025-08-28T00:00:00"/>
    <s v="Customer 019"/>
    <x v="0"/>
    <x v="7"/>
    <s v="P104"/>
    <n v="5"/>
    <n v="8000"/>
    <n v="0"/>
    <x v="6"/>
    <x v="1"/>
    <n v="6200"/>
    <n v="40000"/>
    <n v="31000"/>
    <n v="9000"/>
    <x v="0"/>
  </r>
  <r>
    <x v="507"/>
    <d v="2025-07-20T00:00:00"/>
    <s v="Customer 019"/>
    <x v="1"/>
    <x v="1"/>
    <s v="P101"/>
    <n v="10"/>
    <n v="55000"/>
    <n v="0.05"/>
    <x v="5"/>
    <x v="1"/>
    <n v="41000"/>
    <n v="522500"/>
    <n v="410000"/>
    <n v="112500"/>
    <x v="5"/>
  </r>
  <r>
    <x v="508"/>
    <d v="2025-07-08T00:00:00"/>
    <s v="Customer 006"/>
    <x v="0"/>
    <x v="7"/>
    <s v="P106"/>
    <n v="12"/>
    <n v="500"/>
    <n v="0.05"/>
    <x v="7"/>
    <x v="0"/>
    <n v="320"/>
    <n v="5700"/>
    <n v="3840"/>
    <n v="1860"/>
    <x v="5"/>
  </r>
  <r>
    <x v="509"/>
    <d v="2025-09-14T00:00:00"/>
    <s v="Customer 016"/>
    <x v="2"/>
    <x v="4"/>
    <s v="P104"/>
    <n v="2"/>
    <n v="8000"/>
    <n v="0"/>
    <x v="6"/>
    <x v="1"/>
    <n v="6200"/>
    <n v="16000"/>
    <n v="12400"/>
    <n v="3600"/>
    <x v="1"/>
  </r>
  <r>
    <x v="510"/>
    <d v="2025-10-06T00:00:00"/>
    <s v="Customer 034"/>
    <x v="0"/>
    <x v="7"/>
    <s v="P105"/>
    <n v="1"/>
    <n v="900"/>
    <n v="0"/>
    <x v="4"/>
    <x v="0"/>
    <n v="600"/>
    <n v="900"/>
    <n v="600"/>
    <n v="300"/>
    <x v="10"/>
  </r>
  <r>
    <x v="511"/>
    <d v="2025-02-08T00:00:00"/>
    <s v="Customer 052"/>
    <x v="1"/>
    <x v="5"/>
    <s v="P101"/>
    <n v="14"/>
    <n v="55000"/>
    <n v="0"/>
    <x v="5"/>
    <x v="1"/>
    <n v="41000"/>
    <n v="770000"/>
    <n v="574000"/>
    <n v="196000"/>
    <x v="2"/>
  </r>
  <r>
    <x v="512"/>
    <d v="2025-11-24T00:00:00"/>
    <s v="Customer 038"/>
    <x v="1"/>
    <x v="1"/>
    <s v="P108"/>
    <n v="9"/>
    <n v="1500"/>
    <n v="0.05"/>
    <x v="0"/>
    <x v="0"/>
    <n v="980"/>
    <n v="12825"/>
    <n v="8820"/>
    <n v="4005"/>
    <x v="3"/>
  </r>
  <r>
    <x v="513"/>
    <d v="2025-10-26T00:00:00"/>
    <s v="Customer 058"/>
    <x v="2"/>
    <x v="2"/>
    <s v="P102"/>
    <n v="8"/>
    <n v="18000"/>
    <n v="0.15"/>
    <x v="3"/>
    <x v="1"/>
    <n v="13500"/>
    <n v="122400"/>
    <n v="108000"/>
    <n v="14400"/>
    <x v="10"/>
  </r>
  <r>
    <x v="514"/>
    <d v="2025-12-12T00:00:00"/>
    <s v="Customer 042"/>
    <x v="0"/>
    <x v="7"/>
    <s v="P104"/>
    <n v="15"/>
    <n v="8000"/>
    <n v="0.05"/>
    <x v="6"/>
    <x v="1"/>
    <n v="6200"/>
    <n v="114000"/>
    <n v="93000"/>
    <n v="21000"/>
    <x v="11"/>
  </r>
  <r>
    <x v="515"/>
    <d v="2025-10-23T00:00:00"/>
    <s v="Customer 043"/>
    <x v="1"/>
    <x v="1"/>
    <s v="P101"/>
    <n v="4"/>
    <n v="55000"/>
    <n v="0.15"/>
    <x v="5"/>
    <x v="1"/>
    <n v="41000"/>
    <n v="187000"/>
    <n v="164000"/>
    <n v="23000"/>
    <x v="10"/>
  </r>
  <r>
    <x v="516"/>
    <d v="2025-11-06T00:00:00"/>
    <s v="Customer 022"/>
    <x v="1"/>
    <x v="1"/>
    <s v="P104"/>
    <n v="13"/>
    <n v="8000"/>
    <n v="0"/>
    <x v="6"/>
    <x v="1"/>
    <n v="6200"/>
    <n v="104000"/>
    <n v="80600"/>
    <n v="23400"/>
    <x v="3"/>
  </r>
  <r>
    <x v="517"/>
    <d v="2025-10-14T00:00:00"/>
    <s v="Customer 053"/>
    <x v="1"/>
    <x v="1"/>
    <s v="P103"/>
    <n v="5"/>
    <n v="12000"/>
    <n v="0"/>
    <x v="1"/>
    <x v="1"/>
    <n v="9000"/>
    <n v="60000"/>
    <n v="45000"/>
    <n v="15000"/>
    <x v="10"/>
  </r>
  <r>
    <x v="518"/>
    <d v="2025-03-26T00:00:00"/>
    <s v="Customer 052"/>
    <x v="1"/>
    <x v="1"/>
    <s v="P106"/>
    <n v="1"/>
    <n v="500"/>
    <n v="0.15"/>
    <x v="7"/>
    <x v="0"/>
    <n v="320"/>
    <n v="425"/>
    <n v="320"/>
    <n v="105"/>
    <x v="7"/>
  </r>
  <r>
    <x v="519"/>
    <d v="2025-04-14T00:00:00"/>
    <s v="Customer 042"/>
    <x v="1"/>
    <x v="5"/>
    <s v="P103"/>
    <n v="15"/>
    <n v="12000"/>
    <n v="0.05"/>
    <x v="1"/>
    <x v="1"/>
    <n v="9000"/>
    <n v="171000"/>
    <n v="135000"/>
    <n v="36000"/>
    <x v="6"/>
  </r>
  <r>
    <x v="520"/>
    <d v="2025-05-13T00:00:00"/>
    <s v="Customer 040"/>
    <x v="2"/>
    <x v="2"/>
    <s v="P106"/>
    <n v="11"/>
    <n v="500"/>
    <n v="0"/>
    <x v="7"/>
    <x v="0"/>
    <n v="320"/>
    <n v="5500"/>
    <n v="3520"/>
    <n v="1980"/>
    <x v="8"/>
  </r>
  <r>
    <x v="521"/>
    <d v="2025-12-17T00:00:00"/>
    <s v="Customer 017"/>
    <x v="1"/>
    <x v="5"/>
    <s v="P105"/>
    <n v="7"/>
    <n v="900"/>
    <n v="0.15"/>
    <x v="4"/>
    <x v="0"/>
    <n v="600"/>
    <n v="5355"/>
    <n v="4200"/>
    <n v="1155"/>
    <x v="11"/>
  </r>
  <r>
    <x v="522"/>
    <d v="2025-11-28T00:00:00"/>
    <s v="Customer 003"/>
    <x v="2"/>
    <x v="2"/>
    <s v="P107"/>
    <n v="8"/>
    <n v="2000"/>
    <n v="0.15"/>
    <x v="2"/>
    <x v="0"/>
    <n v="1300"/>
    <n v="13600"/>
    <n v="10400"/>
    <n v="3200"/>
    <x v="3"/>
  </r>
  <r>
    <x v="523"/>
    <d v="2025-10-30T00:00:00"/>
    <s v="Customer 044"/>
    <x v="3"/>
    <x v="6"/>
    <s v="P105"/>
    <n v="15"/>
    <n v="900"/>
    <n v="0"/>
    <x v="4"/>
    <x v="0"/>
    <n v="600"/>
    <n v="13500"/>
    <n v="9000"/>
    <n v="4500"/>
    <x v="10"/>
  </r>
  <r>
    <x v="524"/>
    <d v="2025-02-03T00:00:00"/>
    <s v="Customer 025"/>
    <x v="3"/>
    <x v="3"/>
    <s v="P103"/>
    <n v="12"/>
    <n v="12000"/>
    <n v="0"/>
    <x v="1"/>
    <x v="1"/>
    <n v="9000"/>
    <n v="144000"/>
    <n v="108000"/>
    <n v="36000"/>
    <x v="2"/>
  </r>
  <r>
    <x v="525"/>
    <d v="2025-12-07T00:00:00"/>
    <s v="Customer 021"/>
    <x v="1"/>
    <x v="5"/>
    <s v="P107"/>
    <n v="15"/>
    <n v="2000"/>
    <n v="0.15"/>
    <x v="2"/>
    <x v="0"/>
    <n v="1300"/>
    <n v="25500"/>
    <n v="19500"/>
    <n v="6000"/>
    <x v="11"/>
  </r>
  <r>
    <x v="526"/>
    <d v="2025-01-04T00:00:00"/>
    <s v="Customer 025"/>
    <x v="1"/>
    <x v="1"/>
    <s v="P107"/>
    <n v="8"/>
    <n v="2000"/>
    <n v="0.1"/>
    <x v="2"/>
    <x v="0"/>
    <n v="1300"/>
    <n v="14400"/>
    <n v="10400"/>
    <n v="4000"/>
    <x v="9"/>
  </r>
  <r>
    <x v="527"/>
    <d v="2025-09-29T00:00:00"/>
    <s v="Customer 024"/>
    <x v="3"/>
    <x v="3"/>
    <s v="P101"/>
    <n v="2"/>
    <n v="55000"/>
    <n v="0"/>
    <x v="5"/>
    <x v="1"/>
    <n v="41000"/>
    <n v="110000"/>
    <n v="82000"/>
    <n v="28000"/>
    <x v="1"/>
  </r>
  <r>
    <x v="528"/>
    <d v="2025-10-13T00:00:00"/>
    <s v="Customer 042"/>
    <x v="3"/>
    <x v="6"/>
    <s v="P107"/>
    <n v="3"/>
    <n v="2000"/>
    <n v="0.1"/>
    <x v="2"/>
    <x v="0"/>
    <n v="1300"/>
    <n v="5400"/>
    <n v="3900"/>
    <n v="1500"/>
    <x v="10"/>
  </r>
  <r>
    <x v="529"/>
    <d v="2025-04-15T00:00:00"/>
    <s v="Customer 037"/>
    <x v="1"/>
    <x v="1"/>
    <s v="P108"/>
    <n v="11"/>
    <n v="1500"/>
    <n v="0.15"/>
    <x v="0"/>
    <x v="0"/>
    <n v="980"/>
    <n v="14025"/>
    <n v="10780"/>
    <n v="3245"/>
    <x v="6"/>
  </r>
  <r>
    <x v="530"/>
    <d v="2025-08-18T00:00:00"/>
    <s v="Customer 005"/>
    <x v="2"/>
    <x v="2"/>
    <s v="P108"/>
    <n v="12"/>
    <n v="1500"/>
    <n v="0"/>
    <x v="0"/>
    <x v="0"/>
    <n v="980"/>
    <n v="18000"/>
    <n v="11760"/>
    <n v="6240"/>
    <x v="0"/>
  </r>
  <r>
    <x v="531"/>
    <d v="2025-03-08T00:00:00"/>
    <s v="Customer 055"/>
    <x v="2"/>
    <x v="4"/>
    <s v="P107"/>
    <n v="8"/>
    <n v="2000"/>
    <n v="0"/>
    <x v="2"/>
    <x v="0"/>
    <n v="1300"/>
    <n v="16000"/>
    <n v="10400"/>
    <n v="5600"/>
    <x v="7"/>
  </r>
  <r>
    <x v="532"/>
    <d v="2025-11-14T00:00:00"/>
    <s v="Customer 047"/>
    <x v="0"/>
    <x v="0"/>
    <s v="P103"/>
    <n v="13"/>
    <n v="12000"/>
    <n v="0"/>
    <x v="1"/>
    <x v="1"/>
    <n v="9000"/>
    <n v="156000"/>
    <n v="117000"/>
    <n v="39000"/>
    <x v="3"/>
  </r>
  <r>
    <x v="533"/>
    <d v="2025-06-29T00:00:00"/>
    <s v="Customer 040"/>
    <x v="1"/>
    <x v="1"/>
    <s v="P103"/>
    <n v="5"/>
    <n v="12000"/>
    <n v="0"/>
    <x v="1"/>
    <x v="1"/>
    <n v="9000"/>
    <n v="60000"/>
    <n v="45000"/>
    <n v="15000"/>
    <x v="4"/>
  </r>
  <r>
    <x v="534"/>
    <d v="2025-01-15T00:00:00"/>
    <s v="Customer 046"/>
    <x v="2"/>
    <x v="2"/>
    <s v="P107"/>
    <n v="3"/>
    <n v="2000"/>
    <n v="0"/>
    <x v="2"/>
    <x v="0"/>
    <n v="1300"/>
    <n v="6000"/>
    <n v="3900"/>
    <n v="2100"/>
    <x v="9"/>
  </r>
  <r>
    <x v="535"/>
    <d v="2025-03-13T00:00:00"/>
    <s v="Customer 015"/>
    <x v="3"/>
    <x v="3"/>
    <s v="P101"/>
    <n v="10"/>
    <n v="55000"/>
    <n v="0"/>
    <x v="5"/>
    <x v="1"/>
    <n v="41000"/>
    <n v="550000"/>
    <n v="410000"/>
    <n v="140000"/>
    <x v="7"/>
  </r>
  <r>
    <x v="536"/>
    <d v="2025-04-03T00:00:00"/>
    <s v="Customer 013"/>
    <x v="2"/>
    <x v="2"/>
    <s v="P108"/>
    <n v="2"/>
    <n v="1500"/>
    <n v="0.05"/>
    <x v="0"/>
    <x v="0"/>
    <n v="980"/>
    <n v="2850"/>
    <n v="1960"/>
    <n v="890"/>
    <x v="6"/>
  </r>
  <r>
    <x v="537"/>
    <d v="2025-11-24T00:00:00"/>
    <s v="Customer 051"/>
    <x v="2"/>
    <x v="4"/>
    <s v="P102"/>
    <n v="3"/>
    <n v="18000"/>
    <n v="0.1"/>
    <x v="3"/>
    <x v="1"/>
    <n v="13500"/>
    <n v="48600"/>
    <n v="40500"/>
    <n v="8100"/>
    <x v="3"/>
  </r>
  <r>
    <x v="538"/>
    <d v="2025-07-29T00:00:00"/>
    <s v="Customer 033"/>
    <x v="2"/>
    <x v="2"/>
    <s v="P107"/>
    <n v="10"/>
    <n v="2000"/>
    <n v="0.15"/>
    <x v="2"/>
    <x v="0"/>
    <n v="1300"/>
    <n v="17000"/>
    <n v="13000"/>
    <n v="4000"/>
    <x v="5"/>
  </r>
  <r>
    <x v="539"/>
    <d v="2025-07-18T00:00:00"/>
    <s v="Customer 040"/>
    <x v="1"/>
    <x v="1"/>
    <s v="P108"/>
    <n v="5"/>
    <n v="1500"/>
    <n v="0"/>
    <x v="0"/>
    <x v="0"/>
    <n v="980"/>
    <n v="7500"/>
    <n v="4900"/>
    <n v="2600"/>
    <x v="5"/>
  </r>
  <r>
    <x v="540"/>
    <d v="2025-04-10T00:00:00"/>
    <s v="Unknown"/>
    <x v="3"/>
    <x v="3"/>
    <s v="P101"/>
    <n v="7"/>
    <n v="55000"/>
    <n v="0.1"/>
    <x v="5"/>
    <x v="1"/>
    <n v="41000"/>
    <n v="346500"/>
    <n v="287000"/>
    <n v="59500"/>
    <x v="6"/>
  </r>
  <r>
    <x v="541"/>
    <d v="2025-05-29T00:00:00"/>
    <s v="Customer 052"/>
    <x v="3"/>
    <x v="3"/>
    <s v="P103"/>
    <n v="3"/>
    <n v="12000"/>
    <n v="0.05"/>
    <x v="1"/>
    <x v="1"/>
    <n v="9000"/>
    <n v="34200"/>
    <n v="27000"/>
    <n v="7200"/>
    <x v="8"/>
  </r>
  <r>
    <x v="542"/>
    <d v="2025-12-28T00:00:00"/>
    <s v="Customer 020"/>
    <x v="1"/>
    <x v="5"/>
    <s v="P101"/>
    <n v="5"/>
    <n v="55000"/>
    <n v="0"/>
    <x v="5"/>
    <x v="1"/>
    <n v="41000"/>
    <n v="275000"/>
    <n v="205000"/>
    <n v="70000"/>
    <x v="11"/>
  </r>
  <r>
    <x v="543"/>
    <d v="2025-05-06T00:00:00"/>
    <s v="Customer 056"/>
    <x v="1"/>
    <x v="5"/>
    <s v="P103"/>
    <n v="11"/>
    <n v="12000"/>
    <n v="0.05"/>
    <x v="1"/>
    <x v="1"/>
    <n v="9000"/>
    <n v="125400"/>
    <n v="99000"/>
    <n v="26400"/>
    <x v="8"/>
  </r>
  <r>
    <x v="544"/>
    <d v="2025-05-09T00:00:00"/>
    <s v="Customer 056"/>
    <x v="1"/>
    <x v="5"/>
    <s v="P102"/>
    <n v="12"/>
    <n v="18000"/>
    <n v="0.05"/>
    <x v="3"/>
    <x v="1"/>
    <n v="13500"/>
    <n v="205200"/>
    <n v="162000"/>
    <n v="43200"/>
    <x v="8"/>
  </r>
  <r>
    <x v="545"/>
    <d v="2025-10-30T00:00:00"/>
    <s v="Customer 042"/>
    <x v="3"/>
    <x v="3"/>
    <s v="P104"/>
    <n v="14"/>
    <n v="8000"/>
    <n v="0.05"/>
    <x v="6"/>
    <x v="1"/>
    <n v="6200"/>
    <n v="106400"/>
    <n v="86800"/>
    <n v="19600"/>
    <x v="10"/>
  </r>
  <r>
    <x v="546"/>
    <d v="2025-10-20T00:00:00"/>
    <s v="Customer 037"/>
    <x v="2"/>
    <x v="2"/>
    <s v="P105"/>
    <n v="7"/>
    <n v="900"/>
    <n v="0.05"/>
    <x v="4"/>
    <x v="0"/>
    <n v="600"/>
    <n v="5985"/>
    <n v="4200"/>
    <n v="1785"/>
    <x v="10"/>
  </r>
  <r>
    <x v="547"/>
    <d v="2025-03-09T00:00:00"/>
    <s v="Customer 018"/>
    <x v="1"/>
    <x v="1"/>
    <s v="P107"/>
    <n v="11"/>
    <n v="2000"/>
    <n v="0.1"/>
    <x v="2"/>
    <x v="0"/>
    <n v="1300"/>
    <n v="19800"/>
    <n v="14300"/>
    <n v="5500"/>
    <x v="7"/>
  </r>
  <r>
    <x v="548"/>
    <d v="2025-06-15T00:00:00"/>
    <s v="Customer 043"/>
    <x v="0"/>
    <x v="0"/>
    <s v="P104"/>
    <n v="5"/>
    <n v="8000"/>
    <n v="0.05"/>
    <x v="6"/>
    <x v="1"/>
    <n v="6200"/>
    <n v="38000"/>
    <n v="31000"/>
    <n v="7000"/>
    <x v="4"/>
  </r>
  <r>
    <x v="549"/>
    <d v="2025-05-15T00:00:00"/>
    <s v="Customer 039"/>
    <x v="2"/>
    <x v="2"/>
    <s v="P106"/>
    <n v="9"/>
    <n v="500"/>
    <n v="0.15"/>
    <x v="7"/>
    <x v="0"/>
    <n v="320"/>
    <n v="3825"/>
    <n v="2880"/>
    <n v="945"/>
    <x v="8"/>
  </r>
  <r>
    <x v="550"/>
    <d v="2025-10-05T00:00:00"/>
    <s v="Customer 039"/>
    <x v="3"/>
    <x v="3"/>
    <s v="P104"/>
    <n v="7"/>
    <n v="8000"/>
    <n v="0.1"/>
    <x v="6"/>
    <x v="1"/>
    <n v="6200"/>
    <n v="50400"/>
    <n v="43400"/>
    <n v="7000"/>
    <x v="10"/>
  </r>
  <r>
    <x v="551"/>
    <d v="2025-01-01T00:00:00"/>
    <s v="Customer 041"/>
    <x v="1"/>
    <x v="5"/>
    <s v="P101"/>
    <n v="12"/>
    <n v="55000"/>
    <n v="0"/>
    <x v="5"/>
    <x v="1"/>
    <n v="41000"/>
    <n v="660000"/>
    <n v="492000"/>
    <n v="168000"/>
    <x v="9"/>
  </r>
  <r>
    <x v="552"/>
    <d v="2025-11-25T00:00:00"/>
    <s v="Customer 002"/>
    <x v="3"/>
    <x v="6"/>
    <s v="P108"/>
    <n v="9"/>
    <n v="1500"/>
    <n v="0.15"/>
    <x v="0"/>
    <x v="0"/>
    <n v="980"/>
    <n v="11475"/>
    <n v="8820"/>
    <n v="2655"/>
    <x v="3"/>
  </r>
  <r>
    <x v="553"/>
    <d v="2025-08-09T00:00:00"/>
    <s v="Customer 030"/>
    <x v="2"/>
    <x v="4"/>
    <s v="P108"/>
    <n v="3"/>
    <n v="1500"/>
    <n v="0.15"/>
    <x v="0"/>
    <x v="0"/>
    <n v="980"/>
    <n v="3825"/>
    <n v="2940"/>
    <n v="885"/>
    <x v="0"/>
  </r>
  <r>
    <x v="554"/>
    <d v="2025-12-11T00:00:00"/>
    <s v="Customer 026"/>
    <x v="0"/>
    <x v="0"/>
    <s v="P105"/>
    <n v="6"/>
    <n v="900"/>
    <n v="0.1"/>
    <x v="4"/>
    <x v="0"/>
    <n v="600"/>
    <n v="4860"/>
    <n v="3600"/>
    <n v="1260"/>
    <x v="11"/>
  </r>
  <r>
    <x v="555"/>
    <d v="2025-06-10T00:00:00"/>
    <s v="Customer 013"/>
    <x v="0"/>
    <x v="0"/>
    <s v="P103"/>
    <n v="15"/>
    <n v="12000"/>
    <n v="0.15"/>
    <x v="1"/>
    <x v="1"/>
    <n v="9000"/>
    <n v="153000"/>
    <n v="135000"/>
    <n v="18000"/>
    <x v="4"/>
  </r>
  <r>
    <x v="556"/>
    <d v="2025-11-12T00:00:00"/>
    <s v="Customer 055"/>
    <x v="2"/>
    <x v="2"/>
    <s v="P101"/>
    <n v="7"/>
    <n v="55000"/>
    <n v="0.05"/>
    <x v="5"/>
    <x v="1"/>
    <n v="41000"/>
    <n v="365750"/>
    <n v="287000"/>
    <n v="78750"/>
    <x v="3"/>
  </r>
  <r>
    <x v="557"/>
    <d v="2025-01-19T00:00:00"/>
    <s v="Customer 044"/>
    <x v="2"/>
    <x v="4"/>
    <s v="P108"/>
    <n v="11"/>
    <n v="1500"/>
    <n v="0"/>
    <x v="0"/>
    <x v="0"/>
    <n v="980"/>
    <n v="16500"/>
    <n v="10780"/>
    <n v="5720"/>
    <x v="9"/>
  </r>
  <r>
    <x v="558"/>
    <d v="2025-10-08T00:00:00"/>
    <s v="Customer 042"/>
    <x v="0"/>
    <x v="0"/>
    <s v="P106"/>
    <n v="2"/>
    <n v="500"/>
    <n v="0"/>
    <x v="7"/>
    <x v="0"/>
    <n v="320"/>
    <n v="1000"/>
    <n v="640"/>
    <n v="360"/>
    <x v="10"/>
  </r>
  <r>
    <x v="559"/>
    <d v="2025-09-01T00:00:00"/>
    <s v="Customer 011"/>
    <x v="2"/>
    <x v="2"/>
    <s v="P102"/>
    <n v="1"/>
    <n v="18000"/>
    <n v="0.1"/>
    <x v="3"/>
    <x v="1"/>
    <n v="13500"/>
    <n v="16200"/>
    <n v="13500"/>
    <n v="2700"/>
    <x v="1"/>
  </r>
  <r>
    <x v="560"/>
    <d v="2025-03-24T00:00:00"/>
    <s v="Customer 045"/>
    <x v="3"/>
    <x v="3"/>
    <s v="P103"/>
    <n v="2"/>
    <n v="12000"/>
    <n v="0.1"/>
    <x v="1"/>
    <x v="1"/>
    <n v="9000"/>
    <n v="21600"/>
    <n v="18000"/>
    <n v="3600"/>
    <x v="7"/>
  </r>
  <r>
    <x v="561"/>
    <d v="2025-03-03T00:00:00"/>
    <s v="Customer 036"/>
    <x v="3"/>
    <x v="6"/>
    <s v="P106"/>
    <n v="15"/>
    <n v="500"/>
    <n v="0.05"/>
    <x v="7"/>
    <x v="0"/>
    <n v="320"/>
    <n v="7125"/>
    <n v="4800"/>
    <n v="2325"/>
    <x v="7"/>
  </r>
  <r>
    <x v="562"/>
    <d v="2025-01-28T00:00:00"/>
    <s v="Customer 041"/>
    <x v="3"/>
    <x v="3"/>
    <s v="P105"/>
    <n v="8"/>
    <n v="900"/>
    <n v="0"/>
    <x v="4"/>
    <x v="0"/>
    <n v="600"/>
    <n v="7200"/>
    <n v="4800"/>
    <n v="2400"/>
    <x v="9"/>
  </r>
  <r>
    <x v="563"/>
    <d v="2025-08-28T00:00:00"/>
    <s v="Customer 055"/>
    <x v="2"/>
    <x v="4"/>
    <s v="P101"/>
    <n v="8"/>
    <n v="55000"/>
    <n v="0.05"/>
    <x v="5"/>
    <x v="1"/>
    <n v="41000"/>
    <n v="418000"/>
    <n v="328000"/>
    <n v="90000"/>
    <x v="0"/>
  </r>
  <r>
    <x v="564"/>
    <d v="2025-09-04T00:00:00"/>
    <s v="Customer 009"/>
    <x v="2"/>
    <x v="4"/>
    <s v="P105"/>
    <n v="1"/>
    <n v="900"/>
    <n v="0.1"/>
    <x v="4"/>
    <x v="0"/>
    <n v="600"/>
    <n v="810"/>
    <n v="600"/>
    <n v="210"/>
    <x v="1"/>
  </r>
  <r>
    <x v="565"/>
    <d v="2025-11-07T00:00:00"/>
    <s v="Customer 019"/>
    <x v="3"/>
    <x v="6"/>
    <s v="P102"/>
    <n v="13"/>
    <n v="18000"/>
    <n v="0.15"/>
    <x v="3"/>
    <x v="1"/>
    <n v="13500"/>
    <n v="198900"/>
    <n v="175500"/>
    <n v="23400"/>
    <x v="3"/>
  </r>
  <r>
    <x v="566"/>
    <d v="2025-08-22T00:00:00"/>
    <s v="Customer 031"/>
    <x v="0"/>
    <x v="7"/>
    <s v="P105"/>
    <n v="7"/>
    <n v="900"/>
    <n v="0.15"/>
    <x v="4"/>
    <x v="0"/>
    <n v="600"/>
    <n v="5355"/>
    <n v="4200"/>
    <n v="1155"/>
    <x v="0"/>
  </r>
  <r>
    <x v="567"/>
    <d v="2025-12-16T00:00:00"/>
    <s v="Customer 003"/>
    <x v="0"/>
    <x v="7"/>
    <s v="P106"/>
    <n v="2"/>
    <n v="500"/>
    <n v="0"/>
    <x v="7"/>
    <x v="0"/>
    <n v="320"/>
    <n v="1000"/>
    <n v="640"/>
    <n v="360"/>
    <x v="11"/>
  </r>
  <r>
    <x v="568"/>
    <d v="2025-10-01T00:00:00"/>
    <s v="Customer 037"/>
    <x v="1"/>
    <x v="5"/>
    <s v="P103"/>
    <n v="8"/>
    <n v="12000"/>
    <n v="0"/>
    <x v="1"/>
    <x v="1"/>
    <n v="9000"/>
    <n v="96000"/>
    <n v="72000"/>
    <n v="24000"/>
    <x v="10"/>
  </r>
  <r>
    <x v="569"/>
    <d v="2025-02-20T00:00:00"/>
    <s v="Customer 019"/>
    <x v="2"/>
    <x v="4"/>
    <s v="P103"/>
    <n v="8"/>
    <n v="12000"/>
    <n v="0.15"/>
    <x v="1"/>
    <x v="1"/>
    <n v="9000"/>
    <n v="81600"/>
    <n v="72000"/>
    <n v="9600"/>
    <x v="2"/>
  </r>
  <r>
    <x v="570"/>
    <d v="2025-07-08T00:00:00"/>
    <s v="Customer 001"/>
    <x v="0"/>
    <x v="0"/>
    <s v="P104"/>
    <n v="12"/>
    <n v="8000"/>
    <n v="0"/>
    <x v="6"/>
    <x v="1"/>
    <n v="6200"/>
    <n v="96000"/>
    <n v="74400"/>
    <n v="21600"/>
    <x v="5"/>
  </r>
  <r>
    <x v="571"/>
    <d v="2025-10-18T00:00:00"/>
    <s v="Customer 012"/>
    <x v="2"/>
    <x v="2"/>
    <s v="P104"/>
    <n v="6"/>
    <n v="8000"/>
    <n v="0.05"/>
    <x v="6"/>
    <x v="1"/>
    <n v="6200"/>
    <n v="45600"/>
    <n v="37200"/>
    <n v="8400"/>
    <x v="10"/>
  </r>
  <r>
    <x v="572"/>
    <d v="2025-05-25T00:00:00"/>
    <s v="Customer 028"/>
    <x v="1"/>
    <x v="1"/>
    <s v="P106"/>
    <n v="12"/>
    <n v="500"/>
    <n v="0"/>
    <x v="7"/>
    <x v="0"/>
    <n v="320"/>
    <n v="6000"/>
    <n v="3840"/>
    <n v="2160"/>
    <x v="8"/>
  </r>
  <r>
    <x v="573"/>
    <d v="2025-02-25T00:00:00"/>
    <s v="Customer 058"/>
    <x v="1"/>
    <x v="1"/>
    <s v="P106"/>
    <n v="8"/>
    <n v="500"/>
    <n v="0.05"/>
    <x v="7"/>
    <x v="0"/>
    <n v="320"/>
    <n v="3800"/>
    <n v="2560"/>
    <n v="1240"/>
    <x v="2"/>
  </r>
  <r>
    <x v="574"/>
    <d v="2025-01-24T00:00:00"/>
    <s v="Customer 020"/>
    <x v="2"/>
    <x v="4"/>
    <s v="P108"/>
    <n v="8"/>
    <n v="1500"/>
    <n v="0"/>
    <x v="0"/>
    <x v="0"/>
    <n v="980"/>
    <n v="12000"/>
    <n v="7840"/>
    <n v="4160"/>
    <x v="9"/>
  </r>
  <r>
    <x v="575"/>
    <d v="2025-04-17T00:00:00"/>
    <s v="Customer 030"/>
    <x v="1"/>
    <x v="1"/>
    <s v="P107"/>
    <n v="15"/>
    <n v="2000"/>
    <n v="0"/>
    <x v="2"/>
    <x v="0"/>
    <n v="1300"/>
    <n v="30000"/>
    <n v="19500"/>
    <n v="10500"/>
    <x v="6"/>
  </r>
  <r>
    <x v="576"/>
    <d v="2025-06-14T00:00:00"/>
    <s v="Customer 053"/>
    <x v="1"/>
    <x v="1"/>
    <s v="P107"/>
    <n v="15"/>
    <n v="2000"/>
    <n v="0"/>
    <x v="2"/>
    <x v="0"/>
    <n v="1300"/>
    <n v="30000"/>
    <n v="19500"/>
    <n v="10500"/>
    <x v="4"/>
  </r>
  <r>
    <x v="577"/>
    <d v="2025-03-13T00:00:00"/>
    <s v="Customer 034"/>
    <x v="3"/>
    <x v="3"/>
    <s v="P104"/>
    <n v="3"/>
    <n v="8000"/>
    <n v="0.1"/>
    <x v="6"/>
    <x v="1"/>
    <n v="6200"/>
    <n v="21600"/>
    <n v="18600"/>
    <n v="3000"/>
    <x v="7"/>
  </r>
  <r>
    <x v="578"/>
    <d v="2025-03-28T00:00:00"/>
    <s v="Customer 027"/>
    <x v="3"/>
    <x v="6"/>
    <s v="P104"/>
    <n v="6"/>
    <n v="8000"/>
    <n v="0.15"/>
    <x v="6"/>
    <x v="1"/>
    <n v="6200"/>
    <n v="40800"/>
    <n v="37200"/>
    <n v="3600"/>
    <x v="7"/>
  </r>
  <r>
    <x v="579"/>
    <d v="2025-08-26T00:00:00"/>
    <s v="Customer 015"/>
    <x v="1"/>
    <x v="1"/>
    <s v="P102"/>
    <n v="9"/>
    <n v="18000"/>
    <n v="0"/>
    <x v="3"/>
    <x v="1"/>
    <n v="13500"/>
    <n v="162000"/>
    <n v="121500"/>
    <n v="40500"/>
    <x v="0"/>
  </r>
  <r>
    <x v="580"/>
    <d v="2025-05-05T00:00:00"/>
    <s v="Customer 032"/>
    <x v="0"/>
    <x v="7"/>
    <s v="P108"/>
    <n v="14"/>
    <n v="1500"/>
    <n v="0.15"/>
    <x v="0"/>
    <x v="0"/>
    <n v="980"/>
    <n v="17850"/>
    <n v="13720"/>
    <n v="4130"/>
    <x v="8"/>
  </r>
  <r>
    <x v="581"/>
    <d v="2025-04-12T00:00:00"/>
    <s v="Customer 039"/>
    <x v="3"/>
    <x v="6"/>
    <s v="P102"/>
    <n v="3"/>
    <n v="18000"/>
    <n v="0"/>
    <x v="3"/>
    <x v="1"/>
    <n v="13500"/>
    <n v="54000"/>
    <n v="40500"/>
    <n v="13500"/>
    <x v="6"/>
  </r>
  <r>
    <x v="582"/>
    <d v="2025-03-07T00:00:00"/>
    <s v="Customer 042"/>
    <x v="1"/>
    <x v="5"/>
    <s v="P107"/>
    <n v="7"/>
    <n v="2000"/>
    <n v="0"/>
    <x v="2"/>
    <x v="0"/>
    <n v="1300"/>
    <n v="14000"/>
    <n v="9100"/>
    <n v="4900"/>
    <x v="7"/>
  </r>
  <r>
    <x v="583"/>
    <d v="2025-07-30T00:00:00"/>
    <s v="Customer 023"/>
    <x v="3"/>
    <x v="3"/>
    <s v="P102"/>
    <n v="11"/>
    <n v="18000"/>
    <n v="0"/>
    <x v="3"/>
    <x v="1"/>
    <n v="13500"/>
    <n v="198000"/>
    <n v="148500"/>
    <n v="49500"/>
    <x v="5"/>
  </r>
  <r>
    <x v="584"/>
    <d v="2025-06-30T00:00:00"/>
    <s v="Customer 025"/>
    <x v="3"/>
    <x v="6"/>
    <s v="P103"/>
    <n v="14"/>
    <n v="12000"/>
    <n v="0"/>
    <x v="1"/>
    <x v="1"/>
    <n v="9000"/>
    <n v="168000"/>
    <n v="126000"/>
    <n v="42000"/>
    <x v="4"/>
  </r>
  <r>
    <x v="585"/>
    <d v="2025-05-09T00:00:00"/>
    <s v="Customer 052"/>
    <x v="0"/>
    <x v="0"/>
    <s v="P106"/>
    <n v="10"/>
    <n v="500"/>
    <n v="0"/>
    <x v="7"/>
    <x v="0"/>
    <n v="320"/>
    <n v="5000"/>
    <n v="3200"/>
    <n v="1800"/>
    <x v="8"/>
  </r>
  <r>
    <x v="586"/>
    <d v="2025-06-04T00:00:00"/>
    <s v="Customer 041"/>
    <x v="0"/>
    <x v="0"/>
    <s v="P102"/>
    <n v="12"/>
    <n v="18000"/>
    <n v="0"/>
    <x v="3"/>
    <x v="1"/>
    <n v="13500"/>
    <n v="216000"/>
    <n v="162000"/>
    <n v="54000"/>
    <x v="4"/>
  </r>
  <r>
    <x v="587"/>
    <d v="2025-10-01T00:00:00"/>
    <s v="Customer 057"/>
    <x v="3"/>
    <x v="6"/>
    <s v="P108"/>
    <n v="4"/>
    <n v="1500"/>
    <n v="0"/>
    <x v="0"/>
    <x v="0"/>
    <n v="980"/>
    <n v="6000"/>
    <n v="3920"/>
    <n v="2080"/>
    <x v="10"/>
  </r>
  <r>
    <x v="588"/>
    <d v="2025-06-30T00:00:00"/>
    <s v="Customer 060"/>
    <x v="0"/>
    <x v="7"/>
    <s v="P104"/>
    <n v="13"/>
    <n v="8000"/>
    <n v="0"/>
    <x v="6"/>
    <x v="1"/>
    <n v="6200"/>
    <n v="104000"/>
    <n v="80600"/>
    <n v="23400"/>
    <x v="4"/>
  </r>
  <r>
    <x v="589"/>
    <d v="2025-05-23T00:00:00"/>
    <s v="Customer 041"/>
    <x v="3"/>
    <x v="3"/>
    <s v="P108"/>
    <n v="1"/>
    <n v="1500"/>
    <n v="0"/>
    <x v="0"/>
    <x v="0"/>
    <n v="980"/>
    <n v="1500"/>
    <n v="980"/>
    <n v="520"/>
    <x v="8"/>
  </r>
  <r>
    <x v="590"/>
    <d v="2025-09-12T00:00:00"/>
    <s v="Customer 005"/>
    <x v="2"/>
    <x v="2"/>
    <s v="P101"/>
    <n v="2"/>
    <n v="55000"/>
    <n v="0.05"/>
    <x v="5"/>
    <x v="1"/>
    <n v="41000"/>
    <n v="104500"/>
    <n v="82000"/>
    <n v="22500"/>
    <x v="1"/>
  </r>
  <r>
    <x v="591"/>
    <d v="2025-11-05T00:00:00"/>
    <s v="Customer 039"/>
    <x v="1"/>
    <x v="5"/>
    <s v="P104"/>
    <n v="8"/>
    <n v="8000"/>
    <n v="0.05"/>
    <x v="6"/>
    <x v="1"/>
    <n v="6200"/>
    <n v="60800"/>
    <n v="49600"/>
    <n v="11200"/>
    <x v="3"/>
  </r>
  <r>
    <x v="592"/>
    <d v="2025-06-13T00:00:00"/>
    <s v="Customer 029"/>
    <x v="3"/>
    <x v="3"/>
    <s v="P101"/>
    <n v="9"/>
    <n v="55000"/>
    <n v="0.05"/>
    <x v="5"/>
    <x v="1"/>
    <n v="41000"/>
    <n v="470250"/>
    <n v="369000"/>
    <n v="101250"/>
    <x v="4"/>
  </r>
  <r>
    <x v="593"/>
    <d v="2025-05-13T00:00:00"/>
    <s v="Customer 037"/>
    <x v="2"/>
    <x v="2"/>
    <s v="P106"/>
    <n v="10"/>
    <n v="500"/>
    <n v="0.15"/>
    <x v="7"/>
    <x v="0"/>
    <n v="320"/>
    <n v="4250"/>
    <n v="3200"/>
    <n v="1050"/>
    <x v="8"/>
  </r>
  <r>
    <x v="594"/>
    <d v="2025-03-06T00:00:00"/>
    <s v="Customer 042"/>
    <x v="3"/>
    <x v="6"/>
    <s v="P102"/>
    <n v="3"/>
    <n v="18000"/>
    <n v="0.1"/>
    <x v="3"/>
    <x v="1"/>
    <n v="13500"/>
    <n v="48600"/>
    <n v="40500"/>
    <n v="8100"/>
    <x v="7"/>
  </r>
  <r>
    <x v="595"/>
    <d v="2025-09-15T00:00:00"/>
    <s v="Customer 011"/>
    <x v="1"/>
    <x v="5"/>
    <s v="P103"/>
    <n v="7"/>
    <n v="12000"/>
    <n v="0.1"/>
    <x v="1"/>
    <x v="1"/>
    <n v="9000"/>
    <n v="75600"/>
    <n v="63000"/>
    <n v="12600"/>
    <x v="1"/>
  </r>
  <r>
    <x v="596"/>
    <d v="2025-06-12T00:00:00"/>
    <s v="Customer 042"/>
    <x v="3"/>
    <x v="6"/>
    <s v="P105"/>
    <n v="2"/>
    <n v="900"/>
    <n v="0.05"/>
    <x v="4"/>
    <x v="0"/>
    <n v="600"/>
    <n v="1710"/>
    <n v="1200"/>
    <n v="510"/>
    <x v="4"/>
  </r>
  <r>
    <x v="597"/>
    <d v="2025-08-31T00:00:00"/>
    <s v="Customer 011"/>
    <x v="2"/>
    <x v="4"/>
    <s v="P106"/>
    <n v="11"/>
    <n v="500"/>
    <n v="0"/>
    <x v="7"/>
    <x v="0"/>
    <n v="320"/>
    <n v="5500"/>
    <n v="3520"/>
    <n v="1980"/>
    <x v="0"/>
  </r>
  <r>
    <x v="598"/>
    <d v="2025-09-21T00:00:00"/>
    <s v="Customer 048"/>
    <x v="0"/>
    <x v="0"/>
    <s v="P102"/>
    <n v="14"/>
    <n v="18000"/>
    <n v="0"/>
    <x v="3"/>
    <x v="1"/>
    <n v="13500"/>
    <n v="252000"/>
    <n v="189000"/>
    <n v="63000"/>
    <x v="1"/>
  </r>
  <r>
    <x v="599"/>
    <d v="2025-03-24T00:00:00"/>
    <s v="Customer 030"/>
    <x v="3"/>
    <x v="6"/>
    <s v="P102"/>
    <n v="8"/>
    <n v="18000"/>
    <n v="0"/>
    <x v="3"/>
    <x v="1"/>
    <n v="13500"/>
    <n v="144000"/>
    <n v="108000"/>
    <n v="36000"/>
    <x v="7"/>
  </r>
  <r>
    <x v="600"/>
    <d v="2025-10-16T00:00:00"/>
    <s v="Customer 052"/>
    <x v="3"/>
    <x v="3"/>
    <s v="P106"/>
    <n v="2"/>
    <n v="500"/>
    <n v="0"/>
    <x v="7"/>
    <x v="0"/>
    <n v="320"/>
    <n v="1000"/>
    <n v="640"/>
    <n v="360"/>
    <x v="10"/>
  </r>
  <r>
    <x v="601"/>
    <d v="2025-01-01T00:00:00"/>
    <s v="Customer 005"/>
    <x v="0"/>
    <x v="7"/>
    <s v="P107"/>
    <n v="2"/>
    <n v="2000"/>
    <n v="0"/>
    <x v="2"/>
    <x v="0"/>
    <n v="1300"/>
    <n v="4000"/>
    <n v="2600"/>
    <n v="1400"/>
    <x v="9"/>
  </r>
  <r>
    <x v="602"/>
    <d v="2025-05-17T00:00:00"/>
    <s v="Customer 042"/>
    <x v="2"/>
    <x v="2"/>
    <s v="P107"/>
    <n v="6"/>
    <n v="2000"/>
    <n v="0.1"/>
    <x v="2"/>
    <x v="0"/>
    <n v="1300"/>
    <n v="10800"/>
    <n v="7800"/>
    <n v="3000"/>
    <x v="8"/>
  </r>
  <r>
    <x v="603"/>
    <d v="2025-08-08T00:00:00"/>
    <s v="Customer 044"/>
    <x v="0"/>
    <x v="7"/>
    <s v="P101"/>
    <n v="5"/>
    <n v="55000"/>
    <n v="0"/>
    <x v="5"/>
    <x v="1"/>
    <n v="41000"/>
    <n v="275000"/>
    <n v="205000"/>
    <n v="70000"/>
    <x v="0"/>
  </r>
  <r>
    <x v="604"/>
    <d v="2025-02-24T00:00:00"/>
    <s v="Customer 035"/>
    <x v="2"/>
    <x v="4"/>
    <s v="P104"/>
    <n v="10"/>
    <n v="8000"/>
    <n v="0.1"/>
    <x v="6"/>
    <x v="1"/>
    <n v="6200"/>
    <n v="72000"/>
    <n v="62000"/>
    <n v="10000"/>
    <x v="2"/>
  </r>
  <r>
    <x v="605"/>
    <d v="2025-01-02T00:00:00"/>
    <s v="Customer 031"/>
    <x v="2"/>
    <x v="4"/>
    <s v="P107"/>
    <n v="11"/>
    <n v="2000"/>
    <n v="0"/>
    <x v="2"/>
    <x v="0"/>
    <n v="1300"/>
    <n v="22000"/>
    <n v="14300"/>
    <n v="7700"/>
    <x v="9"/>
  </r>
  <r>
    <x v="606"/>
    <d v="2025-04-02T00:00:00"/>
    <s v="Customer 024"/>
    <x v="0"/>
    <x v="0"/>
    <s v="P104"/>
    <n v="11"/>
    <n v="8000"/>
    <n v="0"/>
    <x v="6"/>
    <x v="1"/>
    <n v="6200"/>
    <n v="88000"/>
    <n v="68200"/>
    <n v="19800"/>
    <x v="6"/>
  </r>
  <r>
    <x v="607"/>
    <d v="2025-08-07T00:00:00"/>
    <s v="Customer 031"/>
    <x v="2"/>
    <x v="2"/>
    <s v="P102"/>
    <n v="15"/>
    <n v="18000"/>
    <n v="0"/>
    <x v="3"/>
    <x v="1"/>
    <n v="13500"/>
    <n v="270000"/>
    <n v="202500"/>
    <n v="67500"/>
    <x v="0"/>
  </r>
  <r>
    <x v="608"/>
    <d v="2025-06-30T00:00:00"/>
    <s v="Customer 055"/>
    <x v="1"/>
    <x v="5"/>
    <s v="P104"/>
    <n v="5"/>
    <n v="8000"/>
    <n v="0.15"/>
    <x v="6"/>
    <x v="1"/>
    <n v="6200"/>
    <n v="34000"/>
    <n v="31000"/>
    <n v="3000"/>
    <x v="4"/>
  </r>
  <r>
    <x v="609"/>
    <d v="2025-08-12T00:00:00"/>
    <s v="Customer 051"/>
    <x v="0"/>
    <x v="7"/>
    <s v="P101"/>
    <n v="8"/>
    <n v="55000"/>
    <n v="0"/>
    <x v="5"/>
    <x v="1"/>
    <n v="41000"/>
    <n v="440000"/>
    <n v="328000"/>
    <n v="112000"/>
    <x v="0"/>
  </r>
  <r>
    <x v="610"/>
    <d v="2025-09-16T00:00:00"/>
    <s v="Customer 034"/>
    <x v="3"/>
    <x v="3"/>
    <s v="P103"/>
    <n v="3"/>
    <n v="12000"/>
    <n v="0"/>
    <x v="1"/>
    <x v="1"/>
    <n v="9000"/>
    <n v="36000"/>
    <n v="27000"/>
    <n v="9000"/>
    <x v="1"/>
  </r>
  <r>
    <x v="611"/>
    <d v="2025-10-16T00:00:00"/>
    <s v="Customer 058"/>
    <x v="3"/>
    <x v="3"/>
    <s v="P101"/>
    <n v="9"/>
    <n v="55000"/>
    <n v="0"/>
    <x v="5"/>
    <x v="1"/>
    <n v="41000"/>
    <n v="495000"/>
    <n v="369000"/>
    <n v="126000"/>
    <x v="10"/>
  </r>
  <r>
    <x v="612"/>
    <d v="2025-12-09T00:00:00"/>
    <s v="Customer 021"/>
    <x v="2"/>
    <x v="2"/>
    <s v="P106"/>
    <n v="1"/>
    <n v="500"/>
    <n v="0"/>
    <x v="7"/>
    <x v="0"/>
    <n v="320"/>
    <n v="500"/>
    <n v="320"/>
    <n v="180"/>
    <x v="11"/>
  </r>
  <r>
    <x v="613"/>
    <d v="2025-07-08T00:00:00"/>
    <s v="Customer 004"/>
    <x v="1"/>
    <x v="5"/>
    <s v="P105"/>
    <n v="13"/>
    <n v="900"/>
    <n v="0"/>
    <x v="4"/>
    <x v="0"/>
    <n v="600"/>
    <n v="11700"/>
    <n v="7800"/>
    <n v="3900"/>
    <x v="5"/>
  </r>
  <r>
    <x v="614"/>
    <d v="2025-06-22T00:00:00"/>
    <s v="Customer 001"/>
    <x v="2"/>
    <x v="4"/>
    <s v="P103"/>
    <n v="2"/>
    <n v="12000"/>
    <n v="0"/>
    <x v="1"/>
    <x v="1"/>
    <n v="9000"/>
    <n v="24000"/>
    <n v="18000"/>
    <n v="6000"/>
    <x v="4"/>
  </r>
  <r>
    <x v="615"/>
    <d v="2025-04-29T00:00:00"/>
    <s v="Customer 025"/>
    <x v="2"/>
    <x v="4"/>
    <s v="P102"/>
    <n v="4"/>
    <n v="18000"/>
    <n v="0"/>
    <x v="3"/>
    <x v="1"/>
    <n v="13500"/>
    <n v="72000"/>
    <n v="54000"/>
    <n v="18000"/>
    <x v="6"/>
  </r>
  <r>
    <x v="616"/>
    <d v="2025-08-29T00:00:00"/>
    <s v="Customer 032"/>
    <x v="1"/>
    <x v="5"/>
    <s v="P105"/>
    <n v="1"/>
    <n v="900"/>
    <n v="0.05"/>
    <x v="4"/>
    <x v="0"/>
    <n v="600"/>
    <n v="855"/>
    <n v="600"/>
    <n v="255"/>
    <x v="0"/>
  </r>
  <r>
    <x v="617"/>
    <d v="2025-02-15T00:00:00"/>
    <s v="Customer 060"/>
    <x v="0"/>
    <x v="0"/>
    <s v="P102"/>
    <n v="13"/>
    <n v="18000"/>
    <n v="0"/>
    <x v="3"/>
    <x v="1"/>
    <n v="13500"/>
    <n v="234000"/>
    <n v="175500"/>
    <n v="58500"/>
    <x v="2"/>
  </r>
  <r>
    <x v="618"/>
    <d v="2025-06-02T00:00:00"/>
    <s v="Customer 013"/>
    <x v="3"/>
    <x v="6"/>
    <s v="P102"/>
    <n v="3"/>
    <n v="18000"/>
    <n v="0"/>
    <x v="3"/>
    <x v="1"/>
    <n v="13500"/>
    <n v="54000"/>
    <n v="40500"/>
    <n v="13500"/>
    <x v="4"/>
  </r>
  <r>
    <x v="619"/>
    <d v="2025-03-04T00:00:00"/>
    <s v="Customer 005"/>
    <x v="0"/>
    <x v="7"/>
    <s v="P105"/>
    <n v="15"/>
    <n v="900"/>
    <n v="0.05"/>
    <x v="4"/>
    <x v="0"/>
    <n v="600"/>
    <n v="12825"/>
    <n v="9000"/>
    <n v="3825"/>
    <x v="7"/>
  </r>
  <r>
    <x v="620"/>
    <d v="2025-04-15T00:00:00"/>
    <s v="Customer 003"/>
    <x v="1"/>
    <x v="1"/>
    <s v="P107"/>
    <n v="14"/>
    <n v="2000"/>
    <n v="0.1"/>
    <x v="2"/>
    <x v="0"/>
    <n v="1300"/>
    <n v="25200"/>
    <n v="18200"/>
    <n v="7000"/>
    <x v="6"/>
  </r>
  <r>
    <x v="621"/>
    <d v="2025-06-01T00:00:00"/>
    <s v="Customer 026"/>
    <x v="3"/>
    <x v="6"/>
    <s v="P105"/>
    <n v="13"/>
    <n v="900"/>
    <n v="0.05"/>
    <x v="4"/>
    <x v="0"/>
    <n v="600"/>
    <n v="11115"/>
    <n v="7800"/>
    <n v="3315"/>
    <x v="4"/>
  </r>
  <r>
    <x v="622"/>
    <d v="2025-11-01T00:00:00"/>
    <s v="Customer 026"/>
    <x v="0"/>
    <x v="7"/>
    <s v="P102"/>
    <n v="7"/>
    <n v="18000"/>
    <n v="0"/>
    <x v="3"/>
    <x v="1"/>
    <n v="13500"/>
    <n v="126000"/>
    <n v="94500"/>
    <n v="31500"/>
    <x v="3"/>
  </r>
  <r>
    <x v="623"/>
    <d v="2025-08-13T00:00:00"/>
    <s v="Customer 020"/>
    <x v="2"/>
    <x v="4"/>
    <s v="P108"/>
    <n v="2"/>
    <n v="1500"/>
    <n v="0"/>
    <x v="0"/>
    <x v="0"/>
    <n v="980"/>
    <n v="3000"/>
    <n v="1960"/>
    <n v="1040"/>
    <x v="0"/>
  </r>
  <r>
    <x v="624"/>
    <d v="2025-05-19T00:00:00"/>
    <s v="Customer 035"/>
    <x v="3"/>
    <x v="3"/>
    <s v="P107"/>
    <n v="15"/>
    <n v="2000"/>
    <n v="0.1"/>
    <x v="2"/>
    <x v="0"/>
    <n v="1300"/>
    <n v="27000"/>
    <n v="19500"/>
    <n v="7500"/>
    <x v="8"/>
  </r>
  <r>
    <x v="625"/>
    <d v="2025-07-08T00:00:00"/>
    <s v="Customer 022"/>
    <x v="1"/>
    <x v="5"/>
    <s v="P108"/>
    <n v="11"/>
    <n v="1500"/>
    <n v="0"/>
    <x v="0"/>
    <x v="0"/>
    <n v="980"/>
    <n v="16500"/>
    <n v="10780"/>
    <n v="5720"/>
    <x v="5"/>
  </r>
  <r>
    <x v="626"/>
    <d v="2025-07-13T00:00:00"/>
    <s v="Customer 001"/>
    <x v="1"/>
    <x v="5"/>
    <s v="P105"/>
    <n v="10"/>
    <n v="900"/>
    <n v="0"/>
    <x v="4"/>
    <x v="0"/>
    <n v="600"/>
    <n v="9000"/>
    <n v="6000"/>
    <n v="3000"/>
    <x v="5"/>
  </r>
  <r>
    <x v="627"/>
    <d v="2025-06-02T00:00:00"/>
    <s v="Customer 052"/>
    <x v="2"/>
    <x v="4"/>
    <s v="P102"/>
    <n v="4"/>
    <n v="18000"/>
    <n v="0"/>
    <x v="3"/>
    <x v="1"/>
    <n v="13500"/>
    <n v="72000"/>
    <n v="54000"/>
    <n v="18000"/>
    <x v="4"/>
  </r>
  <r>
    <x v="628"/>
    <d v="2025-11-01T00:00:00"/>
    <s v="Customer 029"/>
    <x v="1"/>
    <x v="1"/>
    <s v="P101"/>
    <n v="6"/>
    <n v="55000"/>
    <n v="0"/>
    <x v="5"/>
    <x v="1"/>
    <n v="41000"/>
    <n v="330000"/>
    <n v="246000"/>
    <n v="84000"/>
    <x v="3"/>
  </r>
  <r>
    <x v="629"/>
    <d v="2025-01-13T00:00:00"/>
    <s v="Customer 042"/>
    <x v="0"/>
    <x v="7"/>
    <s v="P102"/>
    <n v="7"/>
    <n v="18000"/>
    <n v="0.1"/>
    <x v="3"/>
    <x v="1"/>
    <n v="13500"/>
    <n v="113400"/>
    <n v="94500"/>
    <n v="18900"/>
    <x v="9"/>
  </r>
  <r>
    <x v="630"/>
    <d v="2025-02-19T00:00:00"/>
    <s v="Customer 033"/>
    <x v="3"/>
    <x v="3"/>
    <s v="P107"/>
    <n v="13"/>
    <n v="2000"/>
    <n v="0"/>
    <x v="2"/>
    <x v="0"/>
    <n v="1300"/>
    <n v="26000"/>
    <n v="16900"/>
    <n v="9100"/>
    <x v="2"/>
  </r>
  <r>
    <x v="631"/>
    <d v="2025-12-24T00:00:00"/>
    <s v="Customer 058"/>
    <x v="2"/>
    <x v="2"/>
    <s v="P105"/>
    <n v="8"/>
    <n v="900"/>
    <n v="0.1"/>
    <x v="4"/>
    <x v="0"/>
    <n v="600"/>
    <n v="6480"/>
    <n v="4800"/>
    <n v="1680"/>
    <x v="11"/>
  </r>
  <r>
    <x v="632"/>
    <d v="2025-11-12T00:00:00"/>
    <s v="Customer 001"/>
    <x v="1"/>
    <x v="1"/>
    <s v="P108"/>
    <n v="3"/>
    <n v="1500"/>
    <n v="0.05"/>
    <x v="0"/>
    <x v="0"/>
    <n v="980"/>
    <n v="4275"/>
    <n v="2940"/>
    <n v="1335"/>
    <x v="3"/>
  </r>
  <r>
    <x v="633"/>
    <d v="2025-10-16T00:00:00"/>
    <s v="Customer 008"/>
    <x v="3"/>
    <x v="3"/>
    <s v="P103"/>
    <n v="15"/>
    <n v="12000"/>
    <n v="0.05"/>
    <x v="1"/>
    <x v="1"/>
    <n v="9000"/>
    <n v="171000"/>
    <n v="135000"/>
    <n v="36000"/>
    <x v="10"/>
  </r>
  <r>
    <x v="634"/>
    <d v="2025-08-09T00:00:00"/>
    <s v="Customer 025"/>
    <x v="1"/>
    <x v="5"/>
    <s v="P106"/>
    <n v="4"/>
    <n v="500"/>
    <n v="0.15"/>
    <x v="7"/>
    <x v="0"/>
    <n v="320"/>
    <n v="1700"/>
    <n v="1280"/>
    <n v="420"/>
    <x v="0"/>
  </r>
  <r>
    <x v="635"/>
    <d v="2025-02-11T00:00:00"/>
    <s v="Customer 038"/>
    <x v="0"/>
    <x v="0"/>
    <s v="P108"/>
    <n v="12"/>
    <n v="1500"/>
    <n v="0"/>
    <x v="0"/>
    <x v="0"/>
    <n v="980"/>
    <n v="18000"/>
    <n v="11760"/>
    <n v="6240"/>
    <x v="2"/>
  </r>
  <r>
    <x v="636"/>
    <d v="2025-01-18T00:00:00"/>
    <s v="Customer 011"/>
    <x v="0"/>
    <x v="0"/>
    <s v="P108"/>
    <n v="4"/>
    <n v="1500"/>
    <n v="0"/>
    <x v="0"/>
    <x v="0"/>
    <n v="980"/>
    <n v="6000"/>
    <n v="3920"/>
    <n v="2080"/>
    <x v="9"/>
  </r>
  <r>
    <x v="637"/>
    <d v="2025-10-24T00:00:00"/>
    <s v="Customer 009"/>
    <x v="0"/>
    <x v="7"/>
    <s v="P108"/>
    <n v="2"/>
    <n v="1500"/>
    <n v="0.05"/>
    <x v="0"/>
    <x v="0"/>
    <n v="980"/>
    <n v="2850"/>
    <n v="1960"/>
    <n v="890"/>
    <x v="10"/>
  </r>
  <r>
    <x v="638"/>
    <d v="2025-10-10T00:00:00"/>
    <s v="Customer 027"/>
    <x v="1"/>
    <x v="5"/>
    <s v="P103"/>
    <n v="6"/>
    <n v="12000"/>
    <n v="0.05"/>
    <x v="1"/>
    <x v="1"/>
    <n v="9000"/>
    <n v="68400"/>
    <n v="54000"/>
    <n v="14400"/>
    <x v="10"/>
  </r>
  <r>
    <x v="639"/>
    <d v="2025-09-26T00:00:00"/>
    <s v="Customer 002"/>
    <x v="0"/>
    <x v="0"/>
    <s v="P103"/>
    <n v="10"/>
    <n v="12000"/>
    <n v="0"/>
    <x v="1"/>
    <x v="1"/>
    <n v="9000"/>
    <n v="120000"/>
    <n v="90000"/>
    <n v="30000"/>
    <x v="1"/>
  </r>
  <r>
    <x v="640"/>
    <d v="2025-12-29T00:00:00"/>
    <s v="Customer 031"/>
    <x v="2"/>
    <x v="4"/>
    <s v="P104"/>
    <n v="8"/>
    <n v="8000"/>
    <n v="0.15"/>
    <x v="6"/>
    <x v="1"/>
    <n v="6200"/>
    <n v="54400"/>
    <n v="49600"/>
    <n v="4800"/>
    <x v="11"/>
  </r>
  <r>
    <x v="641"/>
    <d v="2025-12-03T00:00:00"/>
    <s v="Customer 009"/>
    <x v="3"/>
    <x v="6"/>
    <s v="P105"/>
    <n v="11"/>
    <n v="900"/>
    <n v="0"/>
    <x v="4"/>
    <x v="0"/>
    <n v="600"/>
    <n v="9900"/>
    <n v="6600"/>
    <n v="3300"/>
    <x v="11"/>
  </r>
  <r>
    <x v="642"/>
    <d v="2025-04-18T00:00:00"/>
    <s v="Customer 008"/>
    <x v="1"/>
    <x v="1"/>
    <s v="P104"/>
    <n v="2"/>
    <n v="8000"/>
    <n v="0"/>
    <x v="6"/>
    <x v="1"/>
    <n v="6200"/>
    <n v="16000"/>
    <n v="12400"/>
    <n v="3600"/>
    <x v="6"/>
  </r>
  <r>
    <x v="643"/>
    <d v="2025-05-15T00:00:00"/>
    <s v="Customer 038"/>
    <x v="1"/>
    <x v="5"/>
    <s v="P108"/>
    <n v="5"/>
    <n v="1500"/>
    <n v="0.15"/>
    <x v="0"/>
    <x v="0"/>
    <n v="980"/>
    <n v="6375"/>
    <n v="4900"/>
    <n v="1475"/>
    <x v="8"/>
  </r>
  <r>
    <x v="644"/>
    <d v="2025-03-07T00:00:00"/>
    <s v="Customer 043"/>
    <x v="3"/>
    <x v="3"/>
    <s v="P105"/>
    <n v="9"/>
    <n v="900"/>
    <n v="0.1"/>
    <x v="4"/>
    <x v="0"/>
    <n v="600"/>
    <n v="7290"/>
    <n v="5400"/>
    <n v="1890"/>
    <x v="7"/>
  </r>
  <r>
    <x v="645"/>
    <d v="2025-11-24T00:00:00"/>
    <s v="Customer 012"/>
    <x v="2"/>
    <x v="2"/>
    <s v="P103"/>
    <n v="5"/>
    <n v="12000"/>
    <n v="0"/>
    <x v="1"/>
    <x v="1"/>
    <n v="9000"/>
    <n v="60000"/>
    <n v="45000"/>
    <n v="15000"/>
    <x v="3"/>
  </r>
  <r>
    <x v="646"/>
    <d v="2025-03-01T00:00:00"/>
    <s v="Customer 053"/>
    <x v="1"/>
    <x v="5"/>
    <s v="P107"/>
    <n v="14"/>
    <n v="2000"/>
    <n v="0.15"/>
    <x v="2"/>
    <x v="0"/>
    <n v="1300"/>
    <n v="23800"/>
    <n v="18200"/>
    <n v="5600"/>
    <x v="7"/>
  </r>
  <r>
    <x v="647"/>
    <d v="2025-10-18T00:00:00"/>
    <s v="Unknown"/>
    <x v="1"/>
    <x v="5"/>
    <s v="P101"/>
    <n v="1"/>
    <n v="55000"/>
    <n v="0.05"/>
    <x v="5"/>
    <x v="1"/>
    <n v="41000"/>
    <n v="52250"/>
    <n v="41000"/>
    <n v="11250"/>
    <x v="10"/>
  </r>
  <r>
    <x v="648"/>
    <d v="2025-01-25T00:00:00"/>
    <s v="Customer 045"/>
    <x v="0"/>
    <x v="7"/>
    <s v="P104"/>
    <n v="11"/>
    <n v="8000"/>
    <n v="0"/>
    <x v="6"/>
    <x v="1"/>
    <n v="6200"/>
    <n v="88000"/>
    <n v="68200"/>
    <n v="19800"/>
    <x v="9"/>
  </r>
  <r>
    <x v="649"/>
    <d v="2025-07-08T00:00:00"/>
    <s v="Customer 047"/>
    <x v="1"/>
    <x v="5"/>
    <s v="P102"/>
    <n v="13"/>
    <n v="18000"/>
    <n v="0.05"/>
    <x v="3"/>
    <x v="1"/>
    <n v="13500"/>
    <n v="222300"/>
    <n v="175500"/>
    <n v="46800"/>
    <x v="5"/>
  </r>
  <r>
    <x v="650"/>
    <d v="2025-08-25T00:00:00"/>
    <s v="Customer 044"/>
    <x v="2"/>
    <x v="2"/>
    <s v="P103"/>
    <n v="8"/>
    <n v="12000"/>
    <n v="0.05"/>
    <x v="1"/>
    <x v="1"/>
    <n v="9000"/>
    <n v="91200"/>
    <n v="72000"/>
    <n v="19200"/>
    <x v="0"/>
  </r>
  <r>
    <x v="651"/>
    <d v="2025-03-22T00:00:00"/>
    <s v="Customer 054"/>
    <x v="1"/>
    <x v="1"/>
    <s v="P107"/>
    <n v="15"/>
    <n v="2000"/>
    <n v="0"/>
    <x v="2"/>
    <x v="0"/>
    <n v="1300"/>
    <n v="30000"/>
    <n v="19500"/>
    <n v="10500"/>
    <x v="7"/>
  </r>
  <r>
    <x v="652"/>
    <d v="2025-03-12T00:00:00"/>
    <s v="Customer 038"/>
    <x v="2"/>
    <x v="2"/>
    <s v="P107"/>
    <n v="14"/>
    <n v="2000"/>
    <n v="0.15"/>
    <x v="2"/>
    <x v="0"/>
    <n v="1300"/>
    <n v="23800"/>
    <n v="18200"/>
    <n v="5600"/>
    <x v="7"/>
  </r>
  <r>
    <x v="653"/>
    <d v="2025-12-13T00:00:00"/>
    <s v="Unknown"/>
    <x v="1"/>
    <x v="1"/>
    <s v="P103"/>
    <n v="12"/>
    <n v="12000"/>
    <n v="0"/>
    <x v="1"/>
    <x v="1"/>
    <n v="9000"/>
    <n v="144000"/>
    <n v="108000"/>
    <n v="36000"/>
    <x v="11"/>
  </r>
  <r>
    <x v="654"/>
    <d v="2025-07-01T00:00:00"/>
    <s v="Customer 023"/>
    <x v="1"/>
    <x v="1"/>
    <s v="P106"/>
    <n v="11"/>
    <n v="500"/>
    <n v="0"/>
    <x v="7"/>
    <x v="0"/>
    <n v="320"/>
    <n v="5500"/>
    <n v="3520"/>
    <n v="1980"/>
    <x v="5"/>
  </r>
  <r>
    <x v="655"/>
    <d v="2025-12-15T00:00:00"/>
    <s v="Customer 052"/>
    <x v="1"/>
    <x v="1"/>
    <s v="P108"/>
    <n v="10"/>
    <n v="1500"/>
    <n v="0.05"/>
    <x v="0"/>
    <x v="0"/>
    <n v="980"/>
    <n v="14250"/>
    <n v="9800"/>
    <n v="4450"/>
    <x v="11"/>
  </r>
  <r>
    <x v="656"/>
    <d v="2025-08-25T00:00:00"/>
    <s v="Customer 039"/>
    <x v="0"/>
    <x v="0"/>
    <s v="P101"/>
    <n v="10"/>
    <n v="55000"/>
    <n v="0.1"/>
    <x v="5"/>
    <x v="1"/>
    <n v="41000"/>
    <n v="495000"/>
    <n v="410000"/>
    <n v="85000"/>
    <x v="0"/>
  </r>
  <r>
    <x v="657"/>
    <d v="2025-11-10T00:00:00"/>
    <s v="Customer 042"/>
    <x v="3"/>
    <x v="3"/>
    <s v="P106"/>
    <n v="1"/>
    <n v="500"/>
    <n v="0"/>
    <x v="7"/>
    <x v="0"/>
    <n v="320"/>
    <n v="500"/>
    <n v="320"/>
    <n v="180"/>
    <x v="3"/>
  </r>
  <r>
    <x v="658"/>
    <d v="2025-11-16T00:00:00"/>
    <s v="Customer 055"/>
    <x v="0"/>
    <x v="0"/>
    <s v="P108"/>
    <n v="10"/>
    <n v="1500"/>
    <n v="0"/>
    <x v="0"/>
    <x v="0"/>
    <n v="980"/>
    <n v="15000"/>
    <n v="9800"/>
    <n v="5200"/>
    <x v="3"/>
  </r>
  <r>
    <x v="659"/>
    <d v="2025-11-04T00:00:00"/>
    <s v="Customer 026"/>
    <x v="2"/>
    <x v="2"/>
    <s v="P108"/>
    <n v="15"/>
    <n v="1500"/>
    <n v="0.15"/>
    <x v="0"/>
    <x v="0"/>
    <n v="980"/>
    <n v="19125"/>
    <n v="14700"/>
    <n v="4425"/>
    <x v="3"/>
  </r>
  <r>
    <x v="660"/>
    <d v="2025-10-11T00:00:00"/>
    <s v="Customer 026"/>
    <x v="3"/>
    <x v="3"/>
    <s v="P106"/>
    <n v="1"/>
    <n v="500"/>
    <n v="0.1"/>
    <x v="7"/>
    <x v="0"/>
    <n v="320"/>
    <n v="450"/>
    <n v="320"/>
    <n v="130"/>
    <x v="10"/>
  </r>
  <r>
    <x v="661"/>
    <d v="2025-05-21T00:00:00"/>
    <s v="Customer 048"/>
    <x v="1"/>
    <x v="5"/>
    <s v="P102"/>
    <n v="10"/>
    <n v="18000"/>
    <n v="0"/>
    <x v="3"/>
    <x v="1"/>
    <n v="13500"/>
    <n v="180000"/>
    <n v="135000"/>
    <n v="45000"/>
    <x v="8"/>
  </r>
  <r>
    <x v="662"/>
    <d v="2025-03-05T00:00:00"/>
    <s v="Customer 022"/>
    <x v="1"/>
    <x v="1"/>
    <s v="P107"/>
    <n v="6"/>
    <n v="2000"/>
    <n v="0"/>
    <x v="2"/>
    <x v="0"/>
    <n v="1300"/>
    <n v="12000"/>
    <n v="7800"/>
    <n v="4200"/>
    <x v="7"/>
  </r>
  <r>
    <x v="663"/>
    <d v="2025-10-23T00:00:00"/>
    <s v="Customer 034"/>
    <x v="3"/>
    <x v="3"/>
    <s v="P104"/>
    <n v="6"/>
    <n v="8000"/>
    <n v="0"/>
    <x v="6"/>
    <x v="1"/>
    <n v="6200"/>
    <n v="48000"/>
    <n v="37200"/>
    <n v="10800"/>
    <x v="10"/>
  </r>
  <r>
    <x v="664"/>
    <d v="2025-08-02T00:00:00"/>
    <s v="Customer 040"/>
    <x v="3"/>
    <x v="3"/>
    <s v="P106"/>
    <n v="8"/>
    <n v="500"/>
    <n v="0.1"/>
    <x v="7"/>
    <x v="0"/>
    <n v="320"/>
    <n v="3600"/>
    <n v="2560"/>
    <n v="1040"/>
    <x v="0"/>
  </r>
  <r>
    <x v="665"/>
    <d v="2025-12-24T00:00:00"/>
    <s v="Customer 058"/>
    <x v="3"/>
    <x v="3"/>
    <s v="P102"/>
    <n v="7"/>
    <n v="18000"/>
    <n v="0"/>
    <x v="3"/>
    <x v="1"/>
    <n v="13500"/>
    <n v="126000"/>
    <n v="94500"/>
    <n v="31500"/>
    <x v="11"/>
  </r>
  <r>
    <x v="666"/>
    <d v="2025-12-25T00:00:00"/>
    <s v="Customer 004"/>
    <x v="2"/>
    <x v="4"/>
    <s v="P105"/>
    <n v="12"/>
    <n v="900"/>
    <n v="0.05"/>
    <x v="4"/>
    <x v="0"/>
    <n v="600"/>
    <n v="10260"/>
    <n v="7200"/>
    <n v="3060"/>
    <x v="11"/>
  </r>
  <r>
    <x v="667"/>
    <d v="2025-03-08T00:00:00"/>
    <s v="Customer 050"/>
    <x v="2"/>
    <x v="2"/>
    <s v="P102"/>
    <n v="14"/>
    <n v="18000"/>
    <n v="0.1"/>
    <x v="3"/>
    <x v="1"/>
    <n v="13500"/>
    <n v="226800"/>
    <n v="189000"/>
    <n v="37800"/>
    <x v="7"/>
  </r>
  <r>
    <x v="668"/>
    <d v="2025-10-18T00:00:00"/>
    <s v="Customer 009"/>
    <x v="1"/>
    <x v="5"/>
    <s v="P108"/>
    <n v="10"/>
    <n v="1500"/>
    <n v="0.05"/>
    <x v="0"/>
    <x v="0"/>
    <n v="980"/>
    <n v="14250"/>
    <n v="9800"/>
    <n v="4450"/>
    <x v="10"/>
  </r>
  <r>
    <x v="669"/>
    <d v="2025-06-10T00:00:00"/>
    <s v="Customer 053"/>
    <x v="3"/>
    <x v="6"/>
    <s v="P101"/>
    <n v="8"/>
    <n v="55000"/>
    <n v="0.05"/>
    <x v="5"/>
    <x v="1"/>
    <n v="41000"/>
    <n v="418000"/>
    <n v="328000"/>
    <n v="90000"/>
    <x v="4"/>
  </r>
  <r>
    <x v="670"/>
    <d v="2025-12-09T00:00:00"/>
    <s v="Customer 011"/>
    <x v="1"/>
    <x v="5"/>
    <s v="P105"/>
    <n v="2"/>
    <n v="900"/>
    <n v="0"/>
    <x v="4"/>
    <x v="0"/>
    <n v="600"/>
    <n v="1800"/>
    <n v="1200"/>
    <n v="600"/>
    <x v="11"/>
  </r>
  <r>
    <x v="671"/>
    <d v="2025-08-21T00:00:00"/>
    <s v="Customer 058"/>
    <x v="0"/>
    <x v="0"/>
    <s v="P106"/>
    <n v="14"/>
    <n v="500"/>
    <n v="0.15"/>
    <x v="7"/>
    <x v="0"/>
    <n v="320"/>
    <n v="5950"/>
    <n v="4480"/>
    <n v="1470"/>
    <x v="0"/>
  </r>
  <r>
    <x v="672"/>
    <d v="2025-05-10T00:00:00"/>
    <s v="Customer 052"/>
    <x v="3"/>
    <x v="6"/>
    <s v="P102"/>
    <n v="10"/>
    <n v="18000"/>
    <n v="0.1"/>
    <x v="3"/>
    <x v="1"/>
    <n v="13500"/>
    <n v="162000"/>
    <n v="135000"/>
    <n v="27000"/>
    <x v="8"/>
  </r>
  <r>
    <x v="673"/>
    <d v="2025-09-04T00:00:00"/>
    <s v="Customer 047"/>
    <x v="1"/>
    <x v="1"/>
    <s v="P103"/>
    <n v="4"/>
    <n v="12000"/>
    <n v="0.15"/>
    <x v="1"/>
    <x v="1"/>
    <n v="9000"/>
    <n v="40800"/>
    <n v="36000"/>
    <n v="4800"/>
    <x v="1"/>
  </r>
  <r>
    <x v="674"/>
    <d v="2025-03-09T00:00:00"/>
    <s v="Customer 032"/>
    <x v="1"/>
    <x v="1"/>
    <s v="P108"/>
    <n v="14"/>
    <n v="1500"/>
    <n v="0.05"/>
    <x v="0"/>
    <x v="0"/>
    <n v="980"/>
    <n v="19950"/>
    <n v="13720"/>
    <n v="6230"/>
    <x v="7"/>
  </r>
  <r>
    <x v="675"/>
    <d v="2025-08-18T00:00:00"/>
    <s v="Customer 001"/>
    <x v="3"/>
    <x v="3"/>
    <s v="P101"/>
    <n v="11"/>
    <n v="55000"/>
    <n v="0.1"/>
    <x v="5"/>
    <x v="1"/>
    <n v="41000"/>
    <n v="544500"/>
    <n v="451000"/>
    <n v="93500"/>
    <x v="0"/>
  </r>
  <r>
    <x v="676"/>
    <d v="2025-12-14T00:00:00"/>
    <s v="Customer 045"/>
    <x v="1"/>
    <x v="5"/>
    <s v="P106"/>
    <n v="12"/>
    <n v="500"/>
    <n v="0"/>
    <x v="7"/>
    <x v="0"/>
    <n v="320"/>
    <n v="6000"/>
    <n v="3840"/>
    <n v="2160"/>
    <x v="11"/>
  </r>
  <r>
    <x v="677"/>
    <d v="2025-06-18T00:00:00"/>
    <s v="Customer 054"/>
    <x v="2"/>
    <x v="4"/>
    <s v="P107"/>
    <n v="9"/>
    <n v="2000"/>
    <n v="0.1"/>
    <x v="2"/>
    <x v="0"/>
    <n v="1300"/>
    <n v="16200"/>
    <n v="11700"/>
    <n v="4500"/>
    <x v="4"/>
  </r>
  <r>
    <x v="678"/>
    <d v="2025-05-28T00:00:00"/>
    <s v="Customer 024"/>
    <x v="3"/>
    <x v="6"/>
    <s v="P106"/>
    <n v="2"/>
    <n v="500"/>
    <n v="0.05"/>
    <x v="7"/>
    <x v="0"/>
    <n v="320"/>
    <n v="950"/>
    <n v="640"/>
    <n v="310"/>
    <x v="8"/>
  </r>
  <r>
    <x v="679"/>
    <d v="2025-04-08T00:00:00"/>
    <s v="Customer 032"/>
    <x v="1"/>
    <x v="1"/>
    <s v="P102"/>
    <n v="2"/>
    <n v="18000"/>
    <n v="0.1"/>
    <x v="3"/>
    <x v="1"/>
    <n v="13500"/>
    <n v="32400"/>
    <n v="27000"/>
    <n v="5400"/>
    <x v="6"/>
  </r>
  <r>
    <x v="680"/>
    <d v="2025-08-30T00:00:00"/>
    <s v="Customer 022"/>
    <x v="2"/>
    <x v="4"/>
    <s v="P101"/>
    <n v="12"/>
    <n v="55000"/>
    <n v="0.1"/>
    <x v="5"/>
    <x v="1"/>
    <n v="41000"/>
    <n v="594000"/>
    <n v="492000"/>
    <n v="102000"/>
    <x v="0"/>
  </r>
  <r>
    <x v="681"/>
    <d v="2025-06-01T00:00:00"/>
    <s v="Customer 002"/>
    <x v="3"/>
    <x v="6"/>
    <s v="P104"/>
    <n v="2"/>
    <n v="8000"/>
    <n v="0"/>
    <x v="6"/>
    <x v="1"/>
    <n v="6200"/>
    <n v="16000"/>
    <n v="12400"/>
    <n v="3600"/>
    <x v="4"/>
  </r>
  <r>
    <x v="682"/>
    <d v="2025-01-15T00:00:00"/>
    <s v="Customer 027"/>
    <x v="2"/>
    <x v="4"/>
    <s v="P108"/>
    <n v="10"/>
    <n v="1500"/>
    <n v="0.05"/>
    <x v="0"/>
    <x v="0"/>
    <n v="980"/>
    <n v="14250"/>
    <n v="9800"/>
    <n v="4450"/>
    <x v="9"/>
  </r>
  <r>
    <x v="683"/>
    <d v="2025-10-08T00:00:00"/>
    <s v="Customer 035"/>
    <x v="3"/>
    <x v="3"/>
    <s v="P105"/>
    <n v="14"/>
    <n v="900"/>
    <n v="0"/>
    <x v="4"/>
    <x v="0"/>
    <n v="600"/>
    <n v="12600"/>
    <n v="8400"/>
    <n v="4200"/>
    <x v="10"/>
  </r>
  <r>
    <x v="684"/>
    <d v="2025-02-22T00:00:00"/>
    <s v="Customer 040"/>
    <x v="0"/>
    <x v="0"/>
    <s v="P101"/>
    <n v="6"/>
    <n v="55000"/>
    <n v="0.1"/>
    <x v="5"/>
    <x v="1"/>
    <n v="41000"/>
    <n v="297000"/>
    <n v="246000"/>
    <n v="51000"/>
    <x v="2"/>
  </r>
  <r>
    <x v="685"/>
    <d v="2025-05-05T00:00:00"/>
    <s v="Customer 055"/>
    <x v="2"/>
    <x v="2"/>
    <s v="P104"/>
    <n v="6"/>
    <n v="8000"/>
    <n v="0.15"/>
    <x v="6"/>
    <x v="1"/>
    <n v="6200"/>
    <n v="40800"/>
    <n v="37200"/>
    <n v="3600"/>
    <x v="8"/>
  </r>
  <r>
    <x v="686"/>
    <d v="2025-05-06T00:00:00"/>
    <s v="Customer 059"/>
    <x v="3"/>
    <x v="6"/>
    <s v="P103"/>
    <n v="9"/>
    <n v="12000"/>
    <n v="0.05"/>
    <x v="1"/>
    <x v="1"/>
    <n v="9000"/>
    <n v="102600"/>
    <n v="81000"/>
    <n v="21600"/>
    <x v="8"/>
  </r>
  <r>
    <x v="687"/>
    <d v="2025-04-21T00:00:00"/>
    <s v="Customer 055"/>
    <x v="0"/>
    <x v="0"/>
    <s v="P101"/>
    <n v="14"/>
    <n v="55000"/>
    <n v="0"/>
    <x v="5"/>
    <x v="1"/>
    <n v="41000"/>
    <n v="770000"/>
    <n v="574000"/>
    <n v="196000"/>
    <x v="6"/>
  </r>
  <r>
    <x v="688"/>
    <d v="2025-02-04T00:00:00"/>
    <s v="Customer 001"/>
    <x v="2"/>
    <x v="4"/>
    <s v="P105"/>
    <n v="11"/>
    <n v="900"/>
    <n v="0"/>
    <x v="4"/>
    <x v="0"/>
    <n v="600"/>
    <n v="9900"/>
    <n v="6600"/>
    <n v="3300"/>
    <x v="2"/>
  </r>
  <r>
    <x v="689"/>
    <d v="2025-02-12T00:00:00"/>
    <s v="Customer 016"/>
    <x v="3"/>
    <x v="6"/>
    <s v="P101"/>
    <n v="4"/>
    <n v="55000"/>
    <n v="0.05"/>
    <x v="5"/>
    <x v="1"/>
    <n v="41000"/>
    <n v="209000"/>
    <n v="164000"/>
    <n v="45000"/>
    <x v="2"/>
  </r>
  <r>
    <x v="690"/>
    <d v="2025-02-19T00:00:00"/>
    <s v="Customer 029"/>
    <x v="3"/>
    <x v="6"/>
    <s v="P105"/>
    <n v="1"/>
    <n v="900"/>
    <n v="0"/>
    <x v="4"/>
    <x v="0"/>
    <n v="600"/>
    <n v="900"/>
    <n v="600"/>
    <n v="300"/>
    <x v="2"/>
  </r>
  <r>
    <x v="691"/>
    <d v="2025-05-15T00:00:00"/>
    <s v="Customer 026"/>
    <x v="0"/>
    <x v="7"/>
    <s v="P102"/>
    <n v="4"/>
    <n v="18000"/>
    <n v="0.1"/>
    <x v="3"/>
    <x v="1"/>
    <n v="13500"/>
    <n v="64800"/>
    <n v="54000"/>
    <n v="10800"/>
    <x v="8"/>
  </r>
  <r>
    <x v="692"/>
    <d v="2025-01-02T00:00:00"/>
    <s v="Customer 010"/>
    <x v="0"/>
    <x v="7"/>
    <s v="P104"/>
    <n v="12"/>
    <n v="8000"/>
    <n v="0.05"/>
    <x v="6"/>
    <x v="1"/>
    <n v="6200"/>
    <n v="91200"/>
    <n v="74400"/>
    <n v="16800"/>
    <x v="9"/>
  </r>
  <r>
    <x v="693"/>
    <d v="2025-04-25T00:00:00"/>
    <s v="Customer 015"/>
    <x v="2"/>
    <x v="2"/>
    <s v="P102"/>
    <n v="8"/>
    <n v="18000"/>
    <n v="0"/>
    <x v="3"/>
    <x v="1"/>
    <n v="13500"/>
    <n v="144000"/>
    <n v="108000"/>
    <n v="36000"/>
    <x v="6"/>
  </r>
  <r>
    <x v="694"/>
    <d v="2025-09-18T00:00:00"/>
    <s v="Customer 034"/>
    <x v="3"/>
    <x v="6"/>
    <s v="P107"/>
    <n v="14"/>
    <n v="2000"/>
    <n v="0"/>
    <x v="2"/>
    <x v="0"/>
    <n v="1300"/>
    <n v="28000"/>
    <n v="18200"/>
    <n v="9800"/>
    <x v="1"/>
  </r>
  <r>
    <x v="695"/>
    <d v="2025-01-27T00:00:00"/>
    <s v="Customer 005"/>
    <x v="0"/>
    <x v="7"/>
    <s v="P107"/>
    <n v="4"/>
    <n v="2000"/>
    <n v="0"/>
    <x v="2"/>
    <x v="0"/>
    <n v="1300"/>
    <n v="8000"/>
    <n v="5200"/>
    <n v="2800"/>
    <x v="9"/>
  </r>
  <r>
    <x v="696"/>
    <d v="2025-10-15T00:00:00"/>
    <s v="Customer 031"/>
    <x v="2"/>
    <x v="2"/>
    <s v="P101"/>
    <n v="4"/>
    <n v="55000"/>
    <n v="0"/>
    <x v="5"/>
    <x v="1"/>
    <n v="41000"/>
    <n v="220000"/>
    <n v="164000"/>
    <n v="56000"/>
    <x v="10"/>
  </r>
  <r>
    <x v="697"/>
    <d v="2025-06-27T00:00:00"/>
    <s v="Customer 001"/>
    <x v="0"/>
    <x v="0"/>
    <s v="P107"/>
    <n v="2"/>
    <n v="2000"/>
    <n v="0.15"/>
    <x v="2"/>
    <x v="0"/>
    <n v="1300"/>
    <n v="3400"/>
    <n v="2600"/>
    <n v="800"/>
    <x v="4"/>
  </r>
  <r>
    <x v="698"/>
    <d v="2025-05-26T00:00:00"/>
    <s v="Customer 042"/>
    <x v="2"/>
    <x v="2"/>
    <s v="P101"/>
    <n v="10"/>
    <n v="55000"/>
    <n v="0"/>
    <x v="5"/>
    <x v="1"/>
    <n v="41000"/>
    <n v="550000"/>
    <n v="410000"/>
    <n v="140000"/>
    <x v="8"/>
  </r>
  <r>
    <x v="699"/>
    <d v="2025-10-27T00:00:00"/>
    <s v="Customer 032"/>
    <x v="3"/>
    <x v="6"/>
    <s v="P108"/>
    <n v="3"/>
    <n v="1500"/>
    <n v="0.05"/>
    <x v="0"/>
    <x v="0"/>
    <n v="980"/>
    <n v="4275"/>
    <n v="2940"/>
    <n v="1335"/>
    <x v="10"/>
  </r>
  <r>
    <x v="700"/>
    <d v="2025-11-20T00:00:00"/>
    <s v="Customer 054"/>
    <x v="2"/>
    <x v="4"/>
    <s v="P108"/>
    <n v="15"/>
    <n v="1500"/>
    <n v="0"/>
    <x v="0"/>
    <x v="0"/>
    <n v="980"/>
    <n v="22500"/>
    <n v="14700"/>
    <n v="7800"/>
    <x v="3"/>
  </r>
  <r>
    <x v="701"/>
    <d v="2025-04-21T00:00:00"/>
    <s v="Customer 029"/>
    <x v="3"/>
    <x v="3"/>
    <s v="P106"/>
    <n v="4"/>
    <n v="500"/>
    <n v="0"/>
    <x v="7"/>
    <x v="0"/>
    <n v="320"/>
    <n v="2000"/>
    <n v="1280"/>
    <n v="720"/>
    <x v="6"/>
  </r>
  <r>
    <x v="702"/>
    <d v="2025-08-31T00:00:00"/>
    <s v="Customer 028"/>
    <x v="0"/>
    <x v="7"/>
    <s v="P103"/>
    <n v="5"/>
    <n v="12000"/>
    <n v="0"/>
    <x v="1"/>
    <x v="1"/>
    <n v="9000"/>
    <n v="60000"/>
    <n v="45000"/>
    <n v="15000"/>
    <x v="0"/>
  </r>
  <r>
    <x v="703"/>
    <d v="2025-04-09T00:00:00"/>
    <s v="Customer 005"/>
    <x v="3"/>
    <x v="6"/>
    <s v="P105"/>
    <n v="10"/>
    <n v="900"/>
    <n v="0.1"/>
    <x v="4"/>
    <x v="0"/>
    <n v="600"/>
    <n v="8100"/>
    <n v="6000"/>
    <n v="2100"/>
    <x v="6"/>
  </r>
  <r>
    <x v="704"/>
    <d v="2025-10-12T00:00:00"/>
    <s v="Customer 049"/>
    <x v="1"/>
    <x v="5"/>
    <s v="P106"/>
    <n v="8"/>
    <n v="500"/>
    <n v="0"/>
    <x v="7"/>
    <x v="0"/>
    <n v="320"/>
    <n v="4000"/>
    <n v="2560"/>
    <n v="1440"/>
    <x v="10"/>
  </r>
  <r>
    <x v="705"/>
    <d v="2025-09-03T00:00:00"/>
    <s v="Customer 030"/>
    <x v="2"/>
    <x v="4"/>
    <s v="P102"/>
    <n v="14"/>
    <n v="18000"/>
    <n v="0.05"/>
    <x v="3"/>
    <x v="1"/>
    <n v="13500"/>
    <n v="239400"/>
    <n v="189000"/>
    <n v="50400"/>
    <x v="1"/>
  </r>
  <r>
    <x v="706"/>
    <d v="2025-01-29T00:00:00"/>
    <s v="Customer 044"/>
    <x v="1"/>
    <x v="5"/>
    <s v="P107"/>
    <n v="14"/>
    <n v="2000"/>
    <n v="0"/>
    <x v="2"/>
    <x v="0"/>
    <n v="1300"/>
    <n v="28000"/>
    <n v="18200"/>
    <n v="9800"/>
    <x v="9"/>
  </r>
  <r>
    <x v="707"/>
    <d v="2025-02-02T00:00:00"/>
    <s v="Customer 042"/>
    <x v="2"/>
    <x v="4"/>
    <s v="P102"/>
    <n v="9"/>
    <n v="18000"/>
    <n v="0"/>
    <x v="3"/>
    <x v="1"/>
    <n v="13500"/>
    <n v="162000"/>
    <n v="121500"/>
    <n v="40500"/>
    <x v="2"/>
  </r>
  <r>
    <x v="708"/>
    <d v="2025-02-25T00:00:00"/>
    <s v="Customer 040"/>
    <x v="2"/>
    <x v="2"/>
    <s v="P102"/>
    <n v="14"/>
    <n v="18000"/>
    <n v="0"/>
    <x v="3"/>
    <x v="1"/>
    <n v="13500"/>
    <n v="252000"/>
    <n v="189000"/>
    <n v="63000"/>
    <x v="2"/>
  </r>
  <r>
    <x v="709"/>
    <d v="2025-08-16T00:00:00"/>
    <s v="Customer 038"/>
    <x v="2"/>
    <x v="2"/>
    <s v="P105"/>
    <n v="15"/>
    <n v="900"/>
    <n v="0.1"/>
    <x v="4"/>
    <x v="0"/>
    <n v="600"/>
    <n v="12150"/>
    <n v="9000"/>
    <n v="3150"/>
    <x v="0"/>
  </r>
  <r>
    <x v="710"/>
    <d v="2025-01-12T00:00:00"/>
    <s v="Customer 055"/>
    <x v="2"/>
    <x v="2"/>
    <s v="P106"/>
    <n v="7"/>
    <n v="500"/>
    <n v="0"/>
    <x v="7"/>
    <x v="0"/>
    <n v="320"/>
    <n v="3500"/>
    <n v="2240"/>
    <n v="1260"/>
    <x v="9"/>
  </r>
  <r>
    <x v="711"/>
    <d v="2025-10-30T00:00:00"/>
    <s v="Customer 014"/>
    <x v="1"/>
    <x v="5"/>
    <s v="P105"/>
    <n v="3"/>
    <n v="900"/>
    <n v="0"/>
    <x v="4"/>
    <x v="0"/>
    <n v="600"/>
    <n v="2700"/>
    <n v="1800"/>
    <n v="900"/>
    <x v="10"/>
  </r>
  <r>
    <x v="712"/>
    <d v="2025-07-29T00:00:00"/>
    <s v="Customer 002"/>
    <x v="2"/>
    <x v="4"/>
    <s v="P108"/>
    <n v="4"/>
    <n v="1500"/>
    <n v="0"/>
    <x v="0"/>
    <x v="0"/>
    <n v="980"/>
    <n v="6000"/>
    <n v="3920"/>
    <n v="2080"/>
    <x v="5"/>
  </r>
  <r>
    <x v="713"/>
    <d v="2025-01-15T00:00:00"/>
    <s v="Customer 001"/>
    <x v="1"/>
    <x v="5"/>
    <s v="P107"/>
    <n v="3"/>
    <n v="2000"/>
    <n v="0.15"/>
    <x v="2"/>
    <x v="0"/>
    <n v="1300"/>
    <n v="5100"/>
    <n v="3900"/>
    <n v="1200"/>
    <x v="9"/>
  </r>
  <r>
    <x v="714"/>
    <d v="2025-10-23T00:00:00"/>
    <s v="Customer 013"/>
    <x v="3"/>
    <x v="3"/>
    <s v="P104"/>
    <n v="3"/>
    <n v="8000"/>
    <n v="0.1"/>
    <x v="6"/>
    <x v="1"/>
    <n v="6200"/>
    <n v="21600"/>
    <n v="18600"/>
    <n v="3000"/>
    <x v="10"/>
  </r>
  <r>
    <x v="715"/>
    <d v="2025-11-07T00:00:00"/>
    <s v="Customer 017"/>
    <x v="3"/>
    <x v="6"/>
    <s v="P105"/>
    <n v="13"/>
    <n v="900"/>
    <n v="0"/>
    <x v="4"/>
    <x v="0"/>
    <n v="600"/>
    <n v="11700"/>
    <n v="7800"/>
    <n v="3900"/>
    <x v="3"/>
  </r>
  <r>
    <x v="716"/>
    <d v="2025-10-09T00:00:00"/>
    <s v="Customer 002"/>
    <x v="3"/>
    <x v="3"/>
    <s v="P103"/>
    <n v="9"/>
    <n v="12000"/>
    <n v="0.1"/>
    <x v="1"/>
    <x v="1"/>
    <n v="9000"/>
    <n v="97200"/>
    <n v="81000"/>
    <n v="16200"/>
    <x v="10"/>
  </r>
  <r>
    <x v="717"/>
    <d v="2025-11-28T00:00:00"/>
    <s v="Customer 050"/>
    <x v="1"/>
    <x v="1"/>
    <s v="P105"/>
    <n v="12"/>
    <n v="900"/>
    <n v="0"/>
    <x v="4"/>
    <x v="0"/>
    <n v="600"/>
    <n v="10800"/>
    <n v="7200"/>
    <n v="3600"/>
    <x v="3"/>
  </r>
  <r>
    <x v="718"/>
    <d v="2025-10-26T00:00:00"/>
    <s v="Customer 013"/>
    <x v="2"/>
    <x v="2"/>
    <s v="P104"/>
    <n v="2"/>
    <n v="8000"/>
    <n v="0"/>
    <x v="6"/>
    <x v="1"/>
    <n v="6200"/>
    <n v="16000"/>
    <n v="12400"/>
    <n v="3600"/>
    <x v="10"/>
  </r>
  <r>
    <x v="719"/>
    <d v="2025-08-28T00:00:00"/>
    <s v="Customer 054"/>
    <x v="3"/>
    <x v="6"/>
    <s v="P104"/>
    <n v="6"/>
    <n v="8000"/>
    <n v="0"/>
    <x v="6"/>
    <x v="1"/>
    <n v="6200"/>
    <n v="48000"/>
    <n v="37200"/>
    <n v="10800"/>
    <x v="0"/>
  </r>
  <r>
    <x v="720"/>
    <d v="2025-11-06T00:00:00"/>
    <s v="Customer 021"/>
    <x v="2"/>
    <x v="2"/>
    <s v="P104"/>
    <n v="10"/>
    <n v="8000"/>
    <n v="0.1"/>
    <x v="6"/>
    <x v="1"/>
    <n v="6200"/>
    <n v="72000"/>
    <n v="62000"/>
    <n v="10000"/>
    <x v="3"/>
  </r>
  <r>
    <x v="721"/>
    <d v="2025-07-14T00:00:00"/>
    <s v="Customer 056"/>
    <x v="3"/>
    <x v="6"/>
    <s v="P104"/>
    <n v="11"/>
    <n v="8000"/>
    <n v="0.05"/>
    <x v="6"/>
    <x v="1"/>
    <n v="6200"/>
    <n v="83600"/>
    <n v="68200"/>
    <n v="15400"/>
    <x v="5"/>
  </r>
  <r>
    <x v="722"/>
    <d v="2025-04-26T00:00:00"/>
    <s v="Customer 028"/>
    <x v="1"/>
    <x v="1"/>
    <s v="P104"/>
    <n v="6"/>
    <n v="8000"/>
    <n v="0"/>
    <x v="6"/>
    <x v="1"/>
    <n v="6200"/>
    <n v="48000"/>
    <n v="37200"/>
    <n v="10800"/>
    <x v="6"/>
  </r>
  <r>
    <x v="723"/>
    <d v="2025-10-08T00:00:00"/>
    <s v="Customer 036"/>
    <x v="3"/>
    <x v="6"/>
    <s v="P101"/>
    <n v="11"/>
    <n v="55000"/>
    <n v="0"/>
    <x v="5"/>
    <x v="1"/>
    <n v="41000"/>
    <n v="605000"/>
    <n v="451000"/>
    <n v="154000"/>
    <x v="10"/>
  </r>
  <r>
    <x v="724"/>
    <d v="2025-05-30T00:00:00"/>
    <s v="Customer 060"/>
    <x v="1"/>
    <x v="5"/>
    <s v="P108"/>
    <n v="5"/>
    <n v="1500"/>
    <n v="0"/>
    <x v="0"/>
    <x v="0"/>
    <n v="980"/>
    <n v="7500"/>
    <n v="4900"/>
    <n v="2600"/>
    <x v="8"/>
  </r>
  <r>
    <x v="725"/>
    <d v="2025-01-11T00:00:00"/>
    <s v="Customer 051"/>
    <x v="0"/>
    <x v="0"/>
    <s v="P108"/>
    <n v="8"/>
    <n v="1500"/>
    <n v="0"/>
    <x v="0"/>
    <x v="0"/>
    <n v="980"/>
    <n v="12000"/>
    <n v="7840"/>
    <n v="4160"/>
    <x v="9"/>
  </r>
  <r>
    <x v="726"/>
    <d v="2025-12-22T00:00:00"/>
    <s v="Customer 001"/>
    <x v="2"/>
    <x v="2"/>
    <s v="P105"/>
    <n v="14"/>
    <n v="900"/>
    <n v="0"/>
    <x v="4"/>
    <x v="0"/>
    <n v="600"/>
    <n v="12600"/>
    <n v="8400"/>
    <n v="4200"/>
    <x v="11"/>
  </r>
  <r>
    <x v="727"/>
    <d v="2025-12-05T00:00:00"/>
    <s v="Customer 012"/>
    <x v="1"/>
    <x v="5"/>
    <s v="P103"/>
    <n v="9"/>
    <n v="12000"/>
    <n v="0.15"/>
    <x v="1"/>
    <x v="1"/>
    <n v="9000"/>
    <n v="91800"/>
    <n v="81000"/>
    <n v="10800"/>
    <x v="11"/>
  </r>
  <r>
    <x v="728"/>
    <d v="2025-08-30T00:00:00"/>
    <s v="Customer 034"/>
    <x v="2"/>
    <x v="2"/>
    <s v="P105"/>
    <n v="9"/>
    <n v="900"/>
    <n v="0.05"/>
    <x v="4"/>
    <x v="0"/>
    <n v="600"/>
    <n v="7695"/>
    <n v="5400"/>
    <n v="2295"/>
    <x v="0"/>
  </r>
  <r>
    <x v="729"/>
    <d v="2025-05-22T00:00:00"/>
    <s v="Customer 036"/>
    <x v="1"/>
    <x v="1"/>
    <s v="P105"/>
    <n v="10"/>
    <n v="900"/>
    <n v="0"/>
    <x v="4"/>
    <x v="0"/>
    <n v="600"/>
    <n v="9000"/>
    <n v="6000"/>
    <n v="3000"/>
    <x v="8"/>
  </r>
  <r>
    <x v="730"/>
    <d v="2025-05-28T00:00:00"/>
    <s v="Customer 032"/>
    <x v="3"/>
    <x v="6"/>
    <s v="P106"/>
    <n v="13"/>
    <n v="500"/>
    <n v="0.05"/>
    <x v="7"/>
    <x v="0"/>
    <n v="320"/>
    <n v="6175"/>
    <n v="4160"/>
    <n v="2015"/>
    <x v="8"/>
  </r>
  <r>
    <x v="731"/>
    <d v="2025-07-02T00:00:00"/>
    <s v="Customer 040"/>
    <x v="2"/>
    <x v="2"/>
    <s v="P108"/>
    <n v="9"/>
    <n v="1500"/>
    <n v="0"/>
    <x v="0"/>
    <x v="0"/>
    <n v="980"/>
    <n v="13500"/>
    <n v="8820"/>
    <n v="4680"/>
    <x v="5"/>
  </r>
  <r>
    <x v="732"/>
    <d v="2025-07-16T00:00:00"/>
    <s v="Customer 021"/>
    <x v="0"/>
    <x v="0"/>
    <s v="P102"/>
    <n v="2"/>
    <n v="18000"/>
    <n v="0"/>
    <x v="3"/>
    <x v="1"/>
    <n v="13500"/>
    <n v="36000"/>
    <n v="27000"/>
    <n v="9000"/>
    <x v="5"/>
  </r>
  <r>
    <x v="733"/>
    <d v="2025-08-12T00:00:00"/>
    <s v="Customer 018"/>
    <x v="0"/>
    <x v="0"/>
    <s v="P106"/>
    <n v="11"/>
    <n v="500"/>
    <n v="0.1"/>
    <x v="7"/>
    <x v="0"/>
    <n v="320"/>
    <n v="4950"/>
    <n v="3520"/>
    <n v="1430"/>
    <x v="0"/>
  </r>
  <r>
    <x v="734"/>
    <d v="2025-12-12T00:00:00"/>
    <s v="Customer 031"/>
    <x v="1"/>
    <x v="1"/>
    <s v="P107"/>
    <n v="8"/>
    <n v="2000"/>
    <n v="0.15"/>
    <x v="2"/>
    <x v="0"/>
    <n v="1300"/>
    <n v="13600"/>
    <n v="10400"/>
    <n v="3200"/>
    <x v="11"/>
  </r>
  <r>
    <x v="735"/>
    <d v="2025-07-20T00:00:00"/>
    <s v="Customer 057"/>
    <x v="3"/>
    <x v="6"/>
    <s v="P105"/>
    <n v="3"/>
    <n v="900"/>
    <n v="0"/>
    <x v="4"/>
    <x v="0"/>
    <n v="600"/>
    <n v="2700"/>
    <n v="1800"/>
    <n v="900"/>
    <x v="5"/>
  </r>
  <r>
    <x v="736"/>
    <d v="2025-04-01T00:00:00"/>
    <s v="Customer 015"/>
    <x v="2"/>
    <x v="4"/>
    <s v="P103"/>
    <n v="10"/>
    <n v="12000"/>
    <n v="0.1"/>
    <x v="1"/>
    <x v="1"/>
    <n v="9000"/>
    <n v="108000"/>
    <n v="90000"/>
    <n v="18000"/>
    <x v="6"/>
  </r>
  <r>
    <x v="737"/>
    <d v="2025-02-15T00:00:00"/>
    <s v="Customer 059"/>
    <x v="0"/>
    <x v="7"/>
    <s v="P101"/>
    <n v="9"/>
    <n v="55000"/>
    <n v="0"/>
    <x v="5"/>
    <x v="1"/>
    <n v="41000"/>
    <n v="495000"/>
    <n v="369000"/>
    <n v="126000"/>
    <x v="2"/>
  </r>
  <r>
    <x v="738"/>
    <d v="2025-02-09T00:00:00"/>
    <s v="Customer 024"/>
    <x v="0"/>
    <x v="7"/>
    <s v="P103"/>
    <n v="14"/>
    <n v="12000"/>
    <n v="0"/>
    <x v="1"/>
    <x v="1"/>
    <n v="9000"/>
    <n v="168000"/>
    <n v="126000"/>
    <n v="42000"/>
    <x v="2"/>
  </r>
  <r>
    <x v="739"/>
    <d v="2025-05-27T00:00:00"/>
    <s v="Customer 001"/>
    <x v="1"/>
    <x v="5"/>
    <s v="P108"/>
    <n v="14"/>
    <n v="1500"/>
    <n v="0.1"/>
    <x v="0"/>
    <x v="0"/>
    <n v="980"/>
    <n v="18900"/>
    <n v="13720"/>
    <n v="5180"/>
    <x v="8"/>
  </r>
  <r>
    <x v="740"/>
    <d v="2025-06-15T00:00:00"/>
    <s v="Customer 033"/>
    <x v="2"/>
    <x v="2"/>
    <s v="P105"/>
    <n v="6"/>
    <n v="900"/>
    <n v="0.1"/>
    <x v="4"/>
    <x v="0"/>
    <n v="600"/>
    <n v="4860"/>
    <n v="3600"/>
    <n v="1260"/>
    <x v="4"/>
  </r>
  <r>
    <x v="741"/>
    <d v="2025-11-28T00:00:00"/>
    <s v="Customer 032"/>
    <x v="2"/>
    <x v="2"/>
    <s v="P108"/>
    <n v="6"/>
    <n v="1500"/>
    <n v="0"/>
    <x v="0"/>
    <x v="0"/>
    <n v="980"/>
    <n v="9000"/>
    <n v="5880"/>
    <n v="3120"/>
    <x v="3"/>
  </r>
  <r>
    <x v="742"/>
    <d v="2025-08-15T00:00:00"/>
    <s v="Customer 028"/>
    <x v="2"/>
    <x v="4"/>
    <s v="P104"/>
    <n v="8"/>
    <n v="8000"/>
    <n v="0"/>
    <x v="6"/>
    <x v="1"/>
    <n v="6200"/>
    <n v="64000"/>
    <n v="49600"/>
    <n v="14400"/>
    <x v="0"/>
  </r>
  <r>
    <x v="743"/>
    <d v="2025-11-04T00:00:00"/>
    <s v="Customer 031"/>
    <x v="3"/>
    <x v="6"/>
    <s v="P108"/>
    <n v="10"/>
    <n v="1500"/>
    <n v="0.15"/>
    <x v="0"/>
    <x v="0"/>
    <n v="980"/>
    <n v="12750"/>
    <n v="9800"/>
    <n v="2950"/>
    <x v="3"/>
  </r>
  <r>
    <x v="744"/>
    <d v="2025-05-02T00:00:00"/>
    <s v="Customer 046"/>
    <x v="3"/>
    <x v="3"/>
    <s v="P106"/>
    <n v="5"/>
    <n v="500"/>
    <n v="0.05"/>
    <x v="7"/>
    <x v="0"/>
    <n v="320"/>
    <n v="2375"/>
    <n v="1600"/>
    <n v="775"/>
    <x v="8"/>
  </r>
  <r>
    <x v="745"/>
    <d v="2025-09-12T00:00:00"/>
    <s v="Customer 026"/>
    <x v="3"/>
    <x v="3"/>
    <s v="P105"/>
    <n v="7"/>
    <n v="900"/>
    <n v="0.05"/>
    <x v="4"/>
    <x v="0"/>
    <n v="600"/>
    <n v="5985"/>
    <n v="4200"/>
    <n v="1785"/>
    <x v="1"/>
  </r>
  <r>
    <x v="746"/>
    <d v="2025-08-05T00:00:00"/>
    <s v="Customer 010"/>
    <x v="2"/>
    <x v="2"/>
    <s v="P107"/>
    <n v="9"/>
    <n v="2000"/>
    <n v="0"/>
    <x v="2"/>
    <x v="0"/>
    <n v="1300"/>
    <n v="18000"/>
    <n v="11700"/>
    <n v="6300"/>
    <x v="0"/>
  </r>
  <r>
    <x v="747"/>
    <d v="2025-02-17T00:00:00"/>
    <s v="Customer 004"/>
    <x v="3"/>
    <x v="3"/>
    <s v="P102"/>
    <n v="1"/>
    <n v="18000"/>
    <n v="0.1"/>
    <x v="3"/>
    <x v="1"/>
    <n v="13500"/>
    <n v="16200"/>
    <n v="13500"/>
    <n v="2700"/>
    <x v="2"/>
  </r>
  <r>
    <x v="748"/>
    <d v="2025-01-16T00:00:00"/>
    <s v="Customer 002"/>
    <x v="2"/>
    <x v="2"/>
    <s v="P108"/>
    <n v="2"/>
    <n v="1500"/>
    <n v="0.05"/>
    <x v="0"/>
    <x v="0"/>
    <n v="980"/>
    <n v="2850"/>
    <n v="1960"/>
    <n v="890"/>
    <x v="9"/>
  </r>
  <r>
    <x v="749"/>
    <d v="2025-06-17T00:00:00"/>
    <s v="Customer 031"/>
    <x v="1"/>
    <x v="5"/>
    <s v="P101"/>
    <n v="7"/>
    <n v="55000"/>
    <n v="0"/>
    <x v="5"/>
    <x v="1"/>
    <n v="41000"/>
    <n v="385000"/>
    <n v="287000"/>
    <n v="98000"/>
    <x v="4"/>
  </r>
  <r>
    <x v="750"/>
    <d v="2025-11-12T00:00:00"/>
    <s v="Customer 044"/>
    <x v="2"/>
    <x v="2"/>
    <s v="P102"/>
    <n v="15"/>
    <n v="18000"/>
    <n v="0"/>
    <x v="3"/>
    <x v="1"/>
    <n v="13500"/>
    <n v="270000"/>
    <n v="202500"/>
    <n v="67500"/>
    <x v="3"/>
  </r>
  <r>
    <x v="751"/>
    <d v="2025-09-01T00:00:00"/>
    <s v="Customer 008"/>
    <x v="3"/>
    <x v="3"/>
    <s v="P106"/>
    <n v="8"/>
    <n v="500"/>
    <n v="0.15"/>
    <x v="7"/>
    <x v="0"/>
    <n v="320"/>
    <n v="3400"/>
    <n v="2560"/>
    <n v="840"/>
    <x v="1"/>
  </r>
  <r>
    <x v="752"/>
    <d v="2025-08-07T00:00:00"/>
    <s v="Customer 032"/>
    <x v="0"/>
    <x v="7"/>
    <s v="P104"/>
    <n v="4"/>
    <n v="8000"/>
    <n v="0"/>
    <x v="6"/>
    <x v="1"/>
    <n v="6200"/>
    <n v="32000"/>
    <n v="24800"/>
    <n v="7200"/>
    <x v="0"/>
  </r>
  <r>
    <x v="753"/>
    <d v="2025-05-20T00:00:00"/>
    <s v="Customer 016"/>
    <x v="2"/>
    <x v="2"/>
    <s v="P101"/>
    <n v="2"/>
    <n v="55000"/>
    <n v="0.1"/>
    <x v="5"/>
    <x v="1"/>
    <n v="41000"/>
    <n v="99000"/>
    <n v="82000"/>
    <n v="17000"/>
    <x v="8"/>
  </r>
  <r>
    <x v="754"/>
    <d v="2025-04-06T00:00:00"/>
    <s v="Customer 015"/>
    <x v="3"/>
    <x v="6"/>
    <s v="P107"/>
    <n v="12"/>
    <n v="2000"/>
    <n v="0"/>
    <x v="2"/>
    <x v="0"/>
    <n v="1300"/>
    <n v="24000"/>
    <n v="15600"/>
    <n v="8400"/>
    <x v="6"/>
  </r>
  <r>
    <x v="755"/>
    <d v="2025-12-19T00:00:00"/>
    <s v="Customer 031"/>
    <x v="3"/>
    <x v="3"/>
    <s v="P101"/>
    <n v="6"/>
    <n v="55000"/>
    <n v="0"/>
    <x v="5"/>
    <x v="1"/>
    <n v="41000"/>
    <n v="330000"/>
    <n v="246000"/>
    <n v="84000"/>
    <x v="11"/>
  </r>
  <r>
    <x v="756"/>
    <d v="2025-04-11T00:00:00"/>
    <s v="Customer 042"/>
    <x v="2"/>
    <x v="2"/>
    <s v="P105"/>
    <n v="2"/>
    <n v="900"/>
    <n v="0.15"/>
    <x v="4"/>
    <x v="0"/>
    <n v="600"/>
    <n v="1530"/>
    <n v="1200"/>
    <n v="330"/>
    <x v="6"/>
  </r>
  <r>
    <x v="757"/>
    <d v="2025-01-18T00:00:00"/>
    <s v="Customer 002"/>
    <x v="1"/>
    <x v="1"/>
    <s v="P102"/>
    <n v="1"/>
    <n v="18000"/>
    <n v="0.1"/>
    <x v="3"/>
    <x v="1"/>
    <n v="13500"/>
    <n v="16200"/>
    <n v="13500"/>
    <n v="2700"/>
    <x v="9"/>
  </r>
  <r>
    <x v="758"/>
    <d v="2025-05-15T00:00:00"/>
    <s v="Customer 044"/>
    <x v="0"/>
    <x v="0"/>
    <s v="P106"/>
    <n v="3"/>
    <n v="500"/>
    <n v="0.05"/>
    <x v="7"/>
    <x v="0"/>
    <n v="320"/>
    <n v="1425"/>
    <n v="960"/>
    <n v="465"/>
    <x v="8"/>
  </r>
  <r>
    <x v="759"/>
    <d v="2025-08-16T00:00:00"/>
    <s v="Customer 016"/>
    <x v="2"/>
    <x v="2"/>
    <s v="P107"/>
    <n v="13"/>
    <n v="2000"/>
    <n v="0.1"/>
    <x v="2"/>
    <x v="0"/>
    <n v="1300"/>
    <n v="23400"/>
    <n v="16900"/>
    <n v="6500"/>
    <x v="0"/>
  </r>
  <r>
    <x v="760"/>
    <d v="2025-02-23T00:00:00"/>
    <s v="Customer 012"/>
    <x v="2"/>
    <x v="4"/>
    <s v="P102"/>
    <n v="9"/>
    <n v="18000"/>
    <n v="0"/>
    <x v="3"/>
    <x v="1"/>
    <n v="13500"/>
    <n v="162000"/>
    <n v="121500"/>
    <n v="40500"/>
    <x v="2"/>
  </r>
  <r>
    <x v="761"/>
    <d v="2025-05-26T00:00:00"/>
    <s v="Customer 044"/>
    <x v="1"/>
    <x v="5"/>
    <s v="P106"/>
    <n v="7"/>
    <n v="500"/>
    <n v="0.15"/>
    <x v="7"/>
    <x v="0"/>
    <n v="320"/>
    <n v="2975"/>
    <n v="2240"/>
    <n v="735"/>
    <x v="8"/>
  </r>
  <r>
    <x v="762"/>
    <d v="2025-05-13T00:00:00"/>
    <s v="Customer 008"/>
    <x v="1"/>
    <x v="5"/>
    <s v="P108"/>
    <n v="7"/>
    <n v="1500"/>
    <n v="0"/>
    <x v="0"/>
    <x v="0"/>
    <n v="980"/>
    <n v="10500"/>
    <n v="6860"/>
    <n v="3640"/>
    <x v="8"/>
  </r>
  <r>
    <x v="763"/>
    <d v="2025-12-04T00:00:00"/>
    <s v="Customer 034"/>
    <x v="3"/>
    <x v="3"/>
    <s v="P107"/>
    <n v="6"/>
    <n v="2000"/>
    <n v="0"/>
    <x v="2"/>
    <x v="0"/>
    <n v="1300"/>
    <n v="12000"/>
    <n v="7800"/>
    <n v="4200"/>
    <x v="11"/>
  </r>
  <r>
    <x v="764"/>
    <d v="2025-07-20T00:00:00"/>
    <s v="Customer 020"/>
    <x v="2"/>
    <x v="2"/>
    <s v="P106"/>
    <n v="1"/>
    <n v="500"/>
    <n v="0.05"/>
    <x v="7"/>
    <x v="0"/>
    <n v="320"/>
    <n v="475"/>
    <n v="320"/>
    <n v="155"/>
    <x v="5"/>
  </r>
  <r>
    <x v="765"/>
    <d v="2025-08-23T00:00:00"/>
    <s v="Customer 021"/>
    <x v="3"/>
    <x v="3"/>
    <s v="P107"/>
    <n v="1"/>
    <n v="2000"/>
    <n v="0"/>
    <x v="2"/>
    <x v="0"/>
    <n v="1300"/>
    <n v="2000"/>
    <n v="1300"/>
    <n v="700"/>
    <x v="0"/>
  </r>
  <r>
    <x v="766"/>
    <d v="2025-12-17T00:00:00"/>
    <s v="Customer 007"/>
    <x v="0"/>
    <x v="7"/>
    <s v="P106"/>
    <n v="9"/>
    <n v="500"/>
    <n v="0.15"/>
    <x v="7"/>
    <x v="0"/>
    <n v="320"/>
    <n v="3825"/>
    <n v="2880"/>
    <n v="945"/>
    <x v="11"/>
  </r>
  <r>
    <x v="767"/>
    <d v="2025-09-09T00:00:00"/>
    <s v="Customer 031"/>
    <x v="3"/>
    <x v="6"/>
    <s v="P105"/>
    <n v="7"/>
    <n v="900"/>
    <n v="0.1"/>
    <x v="4"/>
    <x v="0"/>
    <n v="600"/>
    <n v="5670"/>
    <n v="4200"/>
    <n v="1470"/>
    <x v="1"/>
  </r>
  <r>
    <x v="768"/>
    <d v="2025-07-01T00:00:00"/>
    <s v="Customer 055"/>
    <x v="2"/>
    <x v="2"/>
    <s v="P102"/>
    <n v="7"/>
    <n v="18000"/>
    <n v="0"/>
    <x v="3"/>
    <x v="1"/>
    <n v="13500"/>
    <n v="126000"/>
    <n v="94500"/>
    <n v="31500"/>
    <x v="5"/>
  </r>
  <r>
    <x v="769"/>
    <d v="2025-01-13T00:00:00"/>
    <s v="Customer 001"/>
    <x v="2"/>
    <x v="4"/>
    <s v="P105"/>
    <n v="6"/>
    <n v="900"/>
    <n v="0.15"/>
    <x v="4"/>
    <x v="0"/>
    <n v="600"/>
    <n v="4590"/>
    <n v="3600"/>
    <n v="990"/>
    <x v="9"/>
  </r>
  <r>
    <x v="770"/>
    <d v="2025-12-06T00:00:00"/>
    <s v="Unknown"/>
    <x v="2"/>
    <x v="4"/>
    <s v="P101"/>
    <n v="9"/>
    <n v="55000"/>
    <n v="0.05"/>
    <x v="5"/>
    <x v="1"/>
    <n v="41000"/>
    <n v="470250"/>
    <n v="369000"/>
    <n v="101250"/>
    <x v="11"/>
  </r>
  <r>
    <x v="771"/>
    <d v="2025-09-26T00:00:00"/>
    <s v="Customer 019"/>
    <x v="2"/>
    <x v="4"/>
    <s v="P104"/>
    <n v="2"/>
    <n v="8000"/>
    <n v="0"/>
    <x v="6"/>
    <x v="1"/>
    <n v="6200"/>
    <n v="16000"/>
    <n v="12400"/>
    <n v="3600"/>
    <x v="1"/>
  </r>
  <r>
    <x v="772"/>
    <d v="2025-08-24T00:00:00"/>
    <s v="Customer 054"/>
    <x v="0"/>
    <x v="7"/>
    <s v="P108"/>
    <n v="7"/>
    <n v="1500"/>
    <n v="0.05"/>
    <x v="0"/>
    <x v="0"/>
    <n v="980"/>
    <n v="9975"/>
    <n v="6860"/>
    <n v="3115"/>
    <x v="0"/>
  </r>
  <r>
    <x v="773"/>
    <d v="2025-04-13T00:00:00"/>
    <s v="Customer 005"/>
    <x v="1"/>
    <x v="5"/>
    <s v="P104"/>
    <n v="10"/>
    <n v="8000"/>
    <n v="0"/>
    <x v="6"/>
    <x v="1"/>
    <n v="6200"/>
    <n v="80000"/>
    <n v="62000"/>
    <n v="18000"/>
    <x v="6"/>
  </r>
  <r>
    <x v="774"/>
    <d v="2025-05-08T00:00:00"/>
    <s v="Customer 028"/>
    <x v="2"/>
    <x v="2"/>
    <s v="P107"/>
    <n v="10"/>
    <n v="2000"/>
    <n v="0"/>
    <x v="2"/>
    <x v="0"/>
    <n v="1300"/>
    <n v="20000"/>
    <n v="13000"/>
    <n v="7000"/>
    <x v="8"/>
  </r>
  <r>
    <x v="775"/>
    <d v="2025-03-30T00:00:00"/>
    <s v="Customer 021"/>
    <x v="3"/>
    <x v="3"/>
    <s v="P101"/>
    <n v="15"/>
    <n v="55000"/>
    <n v="0"/>
    <x v="5"/>
    <x v="1"/>
    <n v="41000"/>
    <n v="825000"/>
    <n v="615000"/>
    <n v="210000"/>
    <x v="7"/>
  </r>
  <r>
    <x v="776"/>
    <d v="2025-06-10T00:00:00"/>
    <s v="Customer 041"/>
    <x v="0"/>
    <x v="0"/>
    <s v="P102"/>
    <n v="7"/>
    <n v="18000"/>
    <n v="0.1"/>
    <x v="3"/>
    <x v="1"/>
    <n v="13500"/>
    <n v="113400"/>
    <n v="94500"/>
    <n v="18900"/>
    <x v="4"/>
  </r>
  <r>
    <x v="777"/>
    <d v="2025-10-11T00:00:00"/>
    <s v="Customer 034"/>
    <x v="0"/>
    <x v="7"/>
    <s v="P108"/>
    <n v="11"/>
    <n v="1500"/>
    <n v="0.05"/>
    <x v="0"/>
    <x v="0"/>
    <n v="980"/>
    <n v="15675"/>
    <n v="10780"/>
    <n v="4895"/>
    <x v="10"/>
  </r>
  <r>
    <x v="778"/>
    <d v="2025-06-10T00:00:00"/>
    <s v="Customer 036"/>
    <x v="2"/>
    <x v="4"/>
    <s v="P105"/>
    <n v="7"/>
    <n v="900"/>
    <n v="0"/>
    <x v="4"/>
    <x v="0"/>
    <n v="600"/>
    <n v="6300"/>
    <n v="4200"/>
    <n v="2100"/>
    <x v="4"/>
  </r>
  <r>
    <x v="779"/>
    <d v="2025-07-06T00:00:00"/>
    <s v="Customer 042"/>
    <x v="3"/>
    <x v="3"/>
    <s v="P101"/>
    <n v="13"/>
    <n v="55000"/>
    <n v="0"/>
    <x v="5"/>
    <x v="1"/>
    <n v="41000"/>
    <n v="715000"/>
    <n v="533000"/>
    <n v="182000"/>
    <x v="5"/>
  </r>
  <r>
    <x v="780"/>
    <d v="2025-10-03T00:00:00"/>
    <s v="Customer 051"/>
    <x v="2"/>
    <x v="4"/>
    <s v="P102"/>
    <n v="15"/>
    <n v="18000"/>
    <n v="0"/>
    <x v="3"/>
    <x v="1"/>
    <n v="13500"/>
    <n v="270000"/>
    <n v="202500"/>
    <n v="67500"/>
    <x v="10"/>
  </r>
  <r>
    <x v="781"/>
    <d v="2025-01-10T00:00:00"/>
    <s v="Customer 042"/>
    <x v="2"/>
    <x v="2"/>
    <s v="P102"/>
    <n v="5"/>
    <n v="18000"/>
    <n v="0"/>
    <x v="3"/>
    <x v="1"/>
    <n v="13500"/>
    <n v="90000"/>
    <n v="67500"/>
    <n v="22500"/>
    <x v="9"/>
  </r>
  <r>
    <x v="782"/>
    <d v="2025-09-16T00:00:00"/>
    <s v="Customer 022"/>
    <x v="1"/>
    <x v="5"/>
    <s v="P107"/>
    <n v="4"/>
    <n v="2000"/>
    <n v="0.05"/>
    <x v="2"/>
    <x v="0"/>
    <n v="1300"/>
    <n v="7600"/>
    <n v="5200"/>
    <n v="2400"/>
    <x v="1"/>
  </r>
  <r>
    <x v="783"/>
    <d v="2025-12-06T00:00:00"/>
    <s v="Customer 038"/>
    <x v="2"/>
    <x v="4"/>
    <s v="P108"/>
    <n v="5"/>
    <n v="1500"/>
    <n v="0"/>
    <x v="0"/>
    <x v="0"/>
    <n v="980"/>
    <n v="7500"/>
    <n v="4900"/>
    <n v="2600"/>
    <x v="11"/>
  </r>
  <r>
    <x v="784"/>
    <d v="2025-09-03T00:00:00"/>
    <s v="Customer 056"/>
    <x v="0"/>
    <x v="0"/>
    <s v="P102"/>
    <n v="10"/>
    <n v="18000"/>
    <n v="0.1"/>
    <x v="3"/>
    <x v="1"/>
    <n v="13500"/>
    <n v="162000"/>
    <n v="135000"/>
    <n v="27000"/>
    <x v="1"/>
  </r>
  <r>
    <x v="785"/>
    <d v="2025-09-25T00:00:00"/>
    <s v="Customer 044"/>
    <x v="3"/>
    <x v="3"/>
    <s v="P102"/>
    <n v="10"/>
    <n v="18000"/>
    <n v="0"/>
    <x v="3"/>
    <x v="1"/>
    <n v="13500"/>
    <n v="180000"/>
    <n v="135000"/>
    <n v="45000"/>
    <x v="1"/>
  </r>
  <r>
    <x v="786"/>
    <d v="2025-01-24T00:00:00"/>
    <s v="Customer 056"/>
    <x v="3"/>
    <x v="6"/>
    <s v="P108"/>
    <n v="4"/>
    <n v="1500"/>
    <n v="0"/>
    <x v="0"/>
    <x v="0"/>
    <n v="980"/>
    <n v="6000"/>
    <n v="3920"/>
    <n v="2080"/>
    <x v="9"/>
  </r>
  <r>
    <x v="787"/>
    <d v="2025-11-03T00:00:00"/>
    <s v="Customer 016"/>
    <x v="3"/>
    <x v="3"/>
    <s v="P105"/>
    <n v="10"/>
    <n v="900"/>
    <n v="0.05"/>
    <x v="4"/>
    <x v="0"/>
    <n v="600"/>
    <n v="8550"/>
    <n v="6000"/>
    <n v="2550"/>
    <x v="3"/>
  </r>
  <r>
    <x v="788"/>
    <d v="2025-01-23T00:00:00"/>
    <s v="Customer 017"/>
    <x v="3"/>
    <x v="6"/>
    <s v="P107"/>
    <n v="3"/>
    <n v="2000"/>
    <n v="0.15"/>
    <x v="2"/>
    <x v="0"/>
    <n v="1300"/>
    <n v="5100"/>
    <n v="3900"/>
    <n v="1200"/>
    <x v="9"/>
  </r>
  <r>
    <x v="789"/>
    <d v="2025-03-02T00:00:00"/>
    <s v="Customer 030"/>
    <x v="0"/>
    <x v="7"/>
    <s v="P101"/>
    <n v="11"/>
    <n v="55000"/>
    <n v="0.1"/>
    <x v="5"/>
    <x v="1"/>
    <n v="41000"/>
    <n v="544500"/>
    <n v="451000"/>
    <n v="93500"/>
    <x v="7"/>
  </r>
  <r>
    <x v="790"/>
    <d v="2025-03-13T00:00:00"/>
    <s v="Customer 058"/>
    <x v="3"/>
    <x v="3"/>
    <s v="P106"/>
    <n v="5"/>
    <n v="500"/>
    <n v="0.15"/>
    <x v="7"/>
    <x v="0"/>
    <n v="320"/>
    <n v="2125"/>
    <n v="1600"/>
    <n v="525"/>
    <x v="7"/>
  </r>
  <r>
    <x v="791"/>
    <d v="2025-12-29T00:00:00"/>
    <s v="Customer 026"/>
    <x v="2"/>
    <x v="2"/>
    <s v="P104"/>
    <n v="7"/>
    <n v="8000"/>
    <n v="0.15"/>
    <x v="6"/>
    <x v="1"/>
    <n v="6200"/>
    <n v="47600"/>
    <n v="43400"/>
    <n v="4200"/>
    <x v="11"/>
  </r>
  <r>
    <x v="792"/>
    <d v="2025-02-15T00:00:00"/>
    <s v="Customer 024"/>
    <x v="1"/>
    <x v="5"/>
    <s v="P103"/>
    <n v="5"/>
    <n v="12000"/>
    <n v="0.05"/>
    <x v="1"/>
    <x v="1"/>
    <n v="9000"/>
    <n v="57000"/>
    <n v="45000"/>
    <n v="12000"/>
    <x v="2"/>
  </r>
  <r>
    <x v="793"/>
    <d v="2025-05-06T00:00:00"/>
    <s v="Customer 011"/>
    <x v="3"/>
    <x v="6"/>
    <s v="P105"/>
    <n v="6"/>
    <n v="900"/>
    <n v="0"/>
    <x v="4"/>
    <x v="0"/>
    <n v="600"/>
    <n v="5400"/>
    <n v="3600"/>
    <n v="1800"/>
    <x v="8"/>
  </r>
  <r>
    <x v="794"/>
    <d v="2025-07-24T00:00:00"/>
    <s v="Customer 017"/>
    <x v="1"/>
    <x v="1"/>
    <s v="P105"/>
    <n v="13"/>
    <n v="900"/>
    <n v="0"/>
    <x v="4"/>
    <x v="0"/>
    <n v="600"/>
    <n v="11700"/>
    <n v="7800"/>
    <n v="3900"/>
    <x v="5"/>
  </r>
  <r>
    <x v="795"/>
    <d v="2025-08-08T00:00:00"/>
    <s v="Customer 054"/>
    <x v="2"/>
    <x v="4"/>
    <s v="P102"/>
    <n v="12"/>
    <n v="18000"/>
    <n v="0.05"/>
    <x v="3"/>
    <x v="1"/>
    <n v="13500"/>
    <n v="205200"/>
    <n v="162000"/>
    <n v="43200"/>
    <x v="0"/>
  </r>
  <r>
    <x v="796"/>
    <d v="2025-07-16T00:00:00"/>
    <s v="Customer 030"/>
    <x v="0"/>
    <x v="0"/>
    <s v="P107"/>
    <n v="3"/>
    <n v="2000"/>
    <n v="0.1"/>
    <x v="2"/>
    <x v="0"/>
    <n v="1300"/>
    <n v="5400"/>
    <n v="3900"/>
    <n v="1500"/>
    <x v="5"/>
  </r>
  <r>
    <x v="797"/>
    <d v="2025-01-15T00:00:00"/>
    <s v="Customer 024"/>
    <x v="3"/>
    <x v="6"/>
    <s v="P106"/>
    <n v="7"/>
    <n v="500"/>
    <n v="0.1"/>
    <x v="7"/>
    <x v="0"/>
    <n v="320"/>
    <n v="3150"/>
    <n v="2240"/>
    <n v="910"/>
    <x v="9"/>
  </r>
  <r>
    <x v="798"/>
    <d v="2025-09-08T00:00:00"/>
    <s v="Customer 047"/>
    <x v="1"/>
    <x v="1"/>
    <s v="P107"/>
    <n v="1"/>
    <n v="2000"/>
    <n v="0.05"/>
    <x v="2"/>
    <x v="0"/>
    <n v="1300"/>
    <n v="1900"/>
    <n v="1300"/>
    <n v="600"/>
    <x v="1"/>
  </r>
  <r>
    <x v="799"/>
    <d v="2025-11-20T00:00:00"/>
    <s v="Customer 021"/>
    <x v="1"/>
    <x v="1"/>
    <s v="P103"/>
    <n v="15"/>
    <n v="12000"/>
    <n v="0.15"/>
    <x v="1"/>
    <x v="1"/>
    <n v="9000"/>
    <n v="153000"/>
    <n v="135000"/>
    <n v="18000"/>
    <x v="3"/>
  </r>
  <r>
    <x v="800"/>
    <d v="2025-12-18T00:00:00"/>
    <s v="Customer 029"/>
    <x v="2"/>
    <x v="2"/>
    <s v="P107"/>
    <n v="10"/>
    <n v="2000"/>
    <n v="0.15"/>
    <x v="2"/>
    <x v="0"/>
    <n v="1300"/>
    <n v="17000"/>
    <n v="13000"/>
    <n v="4000"/>
    <x v="11"/>
  </r>
  <r>
    <x v="801"/>
    <d v="2025-05-20T00:00:00"/>
    <s v="Customer 016"/>
    <x v="3"/>
    <x v="6"/>
    <s v="P106"/>
    <n v="6"/>
    <n v="500"/>
    <n v="0"/>
    <x v="7"/>
    <x v="0"/>
    <n v="320"/>
    <n v="3000"/>
    <n v="1920"/>
    <n v="1080"/>
    <x v="8"/>
  </r>
  <r>
    <x v="802"/>
    <d v="2025-10-01T00:00:00"/>
    <s v="Customer 050"/>
    <x v="1"/>
    <x v="5"/>
    <s v="P106"/>
    <n v="11"/>
    <n v="500"/>
    <n v="0.15"/>
    <x v="7"/>
    <x v="0"/>
    <n v="320"/>
    <n v="4675"/>
    <n v="3520"/>
    <n v="1155"/>
    <x v="10"/>
  </r>
  <r>
    <x v="803"/>
    <d v="2025-12-20T00:00:00"/>
    <s v="Customer 025"/>
    <x v="1"/>
    <x v="5"/>
    <s v="P101"/>
    <n v="11"/>
    <n v="55000"/>
    <n v="0"/>
    <x v="5"/>
    <x v="1"/>
    <n v="41000"/>
    <n v="605000"/>
    <n v="451000"/>
    <n v="154000"/>
    <x v="11"/>
  </r>
  <r>
    <x v="804"/>
    <d v="2025-04-30T00:00:00"/>
    <s v="Customer 008"/>
    <x v="2"/>
    <x v="4"/>
    <s v="P107"/>
    <n v="5"/>
    <n v="2000"/>
    <n v="0.15"/>
    <x v="2"/>
    <x v="0"/>
    <n v="1300"/>
    <n v="8500"/>
    <n v="6500"/>
    <n v="2000"/>
    <x v="6"/>
  </r>
  <r>
    <x v="805"/>
    <d v="2025-01-14T00:00:00"/>
    <s v="Customer 032"/>
    <x v="2"/>
    <x v="2"/>
    <s v="P102"/>
    <n v="15"/>
    <n v="18000"/>
    <n v="0.15"/>
    <x v="3"/>
    <x v="1"/>
    <n v="13500"/>
    <n v="229500"/>
    <n v="202500"/>
    <n v="27000"/>
    <x v="9"/>
  </r>
  <r>
    <x v="806"/>
    <d v="2025-07-11T00:00:00"/>
    <s v="Customer 025"/>
    <x v="3"/>
    <x v="6"/>
    <s v="P101"/>
    <n v="12"/>
    <n v="55000"/>
    <n v="0"/>
    <x v="5"/>
    <x v="1"/>
    <n v="41000"/>
    <n v="660000"/>
    <n v="492000"/>
    <n v="168000"/>
    <x v="5"/>
  </r>
  <r>
    <x v="807"/>
    <d v="2025-02-24T00:00:00"/>
    <s v="Customer 030"/>
    <x v="0"/>
    <x v="7"/>
    <s v="P103"/>
    <n v="12"/>
    <n v="12000"/>
    <n v="0"/>
    <x v="1"/>
    <x v="1"/>
    <n v="9000"/>
    <n v="144000"/>
    <n v="108000"/>
    <n v="36000"/>
    <x v="2"/>
  </r>
  <r>
    <x v="808"/>
    <d v="2025-08-12T00:00:00"/>
    <s v="Customer 031"/>
    <x v="2"/>
    <x v="2"/>
    <s v="P105"/>
    <n v="10"/>
    <n v="900"/>
    <n v="0"/>
    <x v="4"/>
    <x v="0"/>
    <n v="600"/>
    <n v="9000"/>
    <n v="6000"/>
    <n v="3000"/>
    <x v="0"/>
  </r>
  <r>
    <x v="809"/>
    <d v="2025-03-29T00:00:00"/>
    <s v="Customer 003"/>
    <x v="0"/>
    <x v="0"/>
    <s v="P108"/>
    <n v="11"/>
    <n v="1500"/>
    <n v="0.1"/>
    <x v="0"/>
    <x v="0"/>
    <n v="980"/>
    <n v="14850"/>
    <n v="10780"/>
    <n v="4070"/>
    <x v="7"/>
  </r>
  <r>
    <x v="810"/>
    <d v="2025-05-31T00:00:00"/>
    <s v="Customer 019"/>
    <x v="1"/>
    <x v="1"/>
    <s v="P107"/>
    <n v="8"/>
    <n v="2000"/>
    <n v="0"/>
    <x v="2"/>
    <x v="0"/>
    <n v="1300"/>
    <n v="16000"/>
    <n v="10400"/>
    <n v="5600"/>
    <x v="8"/>
  </r>
  <r>
    <x v="811"/>
    <d v="2025-06-11T00:00:00"/>
    <s v="Customer 001"/>
    <x v="3"/>
    <x v="3"/>
    <s v="P106"/>
    <n v="7"/>
    <n v="500"/>
    <n v="0.05"/>
    <x v="7"/>
    <x v="0"/>
    <n v="320"/>
    <n v="3325"/>
    <n v="2240"/>
    <n v="1085"/>
    <x v="4"/>
  </r>
  <r>
    <x v="812"/>
    <d v="2025-01-31T00:00:00"/>
    <s v="Customer 035"/>
    <x v="1"/>
    <x v="1"/>
    <s v="P107"/>
    <n v="13"/>
    <n v="2000"/>
    <n v="0"/>
    <x v="2"/>
    <x v="0"/>
    <n v="1300"/>
    <n v="26000"/>
    <n v="16900"/>
    <n v="9100"/>
    <x v="9"/>
  </r>
  <r>
    <x v="813"/>
    <d v="2025-10-04T00:00:00"/>
    <s v="Customer 041"/>
    <x v="1"/>
    <x v="5"/>
    <s v="P107"/>
    <n v="13"/>
    <n v="2000"/>
    <n v="0.1"/>
    <x v="2"/>
    <x v="0"/>
    <n v="1300"/>
    <n v="23400"/>
    <n v="16900"/>
    <n v="6500"/>
    <x v="10"/>
  </r>
  <r>
    <x v="814"/>
    <d v="2025-02-19T00:00:00"/>
    <s v="Customer 014"/>
    <x v="3"/>
    <x v="3"/>
    <s v="P108"/>
    <n v="11"/>
    <n v="1500"/>
    <n v="0.15"/>
    <x v="0"/>
    <x v="0"/>
    <n v="980"/>
    <n v="14025"/>
    <n v="10780"/>
    <n v="3245"/>
    <x v="2"/>
  </r>
  <r>
    <x v="815"/>
    <d v="2025-09-08T00:00:00"/>
    <s v="Customer 046"/>
    <x v="0"/>
    <x v="0"/>
    <s v="P104"/>
    <n v="9"/>
    <n v="8000"/>
    <n v="0"/>
    <x v="6"/>
    <x v="1"/>
    <n v="6200"/>
    <n v="72000"/>
    <n v="55800"/>
    <n v="16200"/>
    <x v="1"/>
  </r>
  <r>
    <x v="816"/>
    <d v="2025-11-16T00:00:00"/>
    <s v="Customer 022"/>
    <x v="2"/>
    <x v="4"/>
    <s v="P108"/>
    <n v="13"/>
    <n v="1500"/>
    <n v="0.1"/>
    <x v="0"/>
    <x v="0"/>
    <n v="980"/>
    <n v="17550"/>
    <n v="12740"/>
    <n v="4810"/>
    <x v="3"/>
  </r>
  <r>
    <x v="817"/>
    <d v="2025-07-14T00:00:00"/>
    <s v="Customer 030"/>
    <x v="0"/>
    <x v="0"/>
    <s v="P108"/>
    <n v="1"/>
    <n v="1500"/>
    <n v="0.15"/>
    <x v="0"/>
    <x v="0"/>
    <n v="980"/>
    <n v="1275"/>
    <n v="980"/>
    <n v="295"/>
    <x v="5"/>
  </r>
  <r>
    <x v="818"/>
    <d v="2025-05-19T00:00:00"/>
    <s v="Customer 045"/>
    <x v="2"/>
    <x v="4"/>
    <s v="P102"/>
    <n v="9"/>
    <n v="18000"/>
    <n v="0.1"/>
    <x v="3"/>
    <x v="1"/>
    <n v="13500"/>
    <n v="145800"/>
    <n v="121500"/>
    <n v="24300"/>
    <x v="8"/>
  </r>
  <r>
    <x v="819"/>
    <d v="2025-02-10T00:00:00"/>
    <s v="Customer 004"/>
    <x v="1"/>
    <x v="5"/>
    <s v="P108"/>
    <n v="5"/>
    <n v="1500"/>
    <n v="0.1"/>
    <x v="0"/>
    <x v="0"/>
    <n v="980"/>
    <n v="6750"/>
    <n v="4900"/>
    <n v="1850"/>
    <x v="2"/>
  </r>
  <r>
    <x v="820"/>
    <d v="2025-04-02T00:00:00"/>
    <s v="Customer 034"/>
    <x v="3"/>
    <x v="6"/>
    <s v="P104"/>
    <n v="15"/>
    <n v="8000"/>
    <n v="0.05"/>
    <x v="6"/>
    <x v="1"/>
    <n v="6200"/>
    <n v="114000"/>
    <n v="93000"/>
    <n v="21000"/>
    <x v="6"/>
  </r>
  <r>
    <x v="821"/>
    <d v="2025-11-11T00:00:00"/>
    <s v="Customer 012"/>
    <x v="0"/>
    <x v="0"/>
    <s v="P103"/>
    <n v="8"/>
    <n v="12000"/>
    <n v="0"/>
    <x v="1"/>
    <x v="1"/>
    <n v="9000"/>
    <n v="96000"/>
    <n v="72000"/>
    <n v="24000"/>
    <x v="3"/>
  </r>
  <r>
    <x v="822"/>
    <d v="2025-08-24T00:00:00"/>
    <s v="Customer 032"/>
    <x v="2"/>
    <x v="2"/>
    <s v="P103"/>
    <n v="8"/>
    <n v="12000"/>
    <n v="0"/>
    <x v="1"/>
    <x v="1"/>
    <n v="9000"/>
    <n v="96000"/>
    <n v="72000"/>
    <n v="24000"/>
    <x v="0"/>
  </r>
  <r>
    <x v="823"/>
    <d v="2025-03-27T00:00:00"/>
    <s v="Customer 004"/>
    <x v="3"/>
    <x v="6"/>
    <s v="P101"/>
    <n v="15"/>
    <n v="55000"/>
    <n v="0.15"/>
    <x v="5"/>
    <x v="1"/>
    <n v="41000"/>
    <n v="701250"/>
    <n v="615000"/>
    <n v="86250"/>
    <x v="7"/>
  </r>
  <r>
    <x v="824"/>
    <d v="2025-05-09T00:00:00"/>
    <s v="Customer 042"/>
    <x v="0"/>
    <x v="7"/>
    <s v="P108"/>
    <n v="3"/>
    <n v="1500"/>
    <n v="0"/>
    <x v="0"/>
    <x v="0"/>
    <n v="980"/>
    <n v="4500"/>
    <n v="2940"/>
    <n v="1560"/>
    <x v="8"/>
  </r>
  <r>
    <x v="825"/>
    <d v="2025-12-25T00:00:00"/>
    <s v="Customer 006"/>
    <x v="3"/>
    <x v="6"/>
    <s v="P102"/>
    <n v="5"/>
    <n v="18000"/>
    <n v="0.15"/>
    <x v="3"/>
    <x v="1"/>
    <n v="13500"/>
    <n v="76500"/>
    <n v="67500"/>
    <n v="9000"/>
    <x v="11"/>
  </r>
  <r>
    <x v="826"/>
    <d v="2025-03-01T00:00:00"/>
    <s v="Customer 052"/>
    <x v="2"/>
    <x v="2"/>
    <s v="P105"/>
    <n v="3"/>
    <n v="900"/>
    <n v="0"/>
    <x v="4"/>
    <x v="0"/>
    <n v="600"/>
    <n v="2700"/>
    <n v="1800"/>
    <n v="900"/>
    <x v="7"/>
  </r>
  <r>
    <x v="827"/>
    <d v="2025-11-22T00:00:00"/>
    <s v="Customer 037"/>
    <x v="1"/>
    <x v="1"/>
    <s v="P106"/>
    <n v="12"/>
    <n v="500"/>
    <n v="0.15"/>
    <x v="7"/>
    <x v="0"/>
    <n v="320"/>
    <n v="5100"/>
    <n v="3840"/>
    <n v="1260"/>
    <x v="3"/>
  </r>
  <r>
    <x v="828"/>
    <d v="2025-11-19T00:00:00"/>
    <s v="Customer 055"/>
    <x v="1"/>
    <x v="1"/>
    <s v="P107"/>
    <n v="7"/>
    <n v="2000"/>
    <n v="0"/>
    <x v="2"/>
    <x v="0"/>
    <n v="1300"/>
    <n v="14000"/>
    <n v="9100"/>
    <n v="4900"/>
    <x v="3"/>
  </r>
  <r>
    <x v="829"/>
    <d v="2025-05-13T00:00:00"/>
    <s v="Customer 025"/>
    <x v="1"/>
    <x v="5"/>
    <s v="P107"/>
    <n v="12"/>
    <n v="2000"/>
    <n v="0"/>
    <x v="2"/>
    <x v="0"/>
    <n v="1300"/>
    <n v="24000"/>
    <n v="15600"/>
    <n v="8400"/>
    <x v="8"/>
  </r>
  <r>
    <x v="830"/>
    <d v="2025-01-06T00:00:00"/>
    <s v="Customer 048"/>
    <x v="2"/>
    <x v="2"/>
    <s v="P106"/>
    <n v="14"/>
    <n v="500"/>
    <n v="0"/>
    <x v="7"/>
    <x v="0"/>
    <n v="320"/>
    <n v="7000"/>
    <n v="4480"/>
    <n v="2520"/>
    <x v="9"/>
  </r>
  <r>
    <x v="831"/>
    <d v="2025-07-12T00:00:00"/>
    <s v="Customer 005"/>
    <x v="2"/>
    <x v="4"/>
    <s v="P108"/>
    <n v="5"/>
    <n v="1500"/>
    <n v="0"/>
    <x v="0"/>
    <x v="0"/>
    <n v="980"/>
    <n v="7500"/>
    <n v="4900"/>
    <n v="2600"/>
    <x v="5"/>
  </r>
  <r>
    <x v="832"/>
    <d v="2025-02-10T00:00:00"/>
    <s v="Customer 037"/>
    <x v="3"/>
    <x v="3"/>
    <s v="P102"/>
    <n v="10"/>
    <n v="18000"/>
    <n v="0"/>
    <x v="3"/>
    <x v="1"/>
    <n v="13500"/>
    <n v="180000"/>
    <n v="135000"/>
    <n v="45000"/>
    <x v="2"/>
  </r>
  <r>
    <x v="833"/>
    <d v="2025-09-15T00:00:00"/>
    <s v="Customer 029"/>
    <x v="0"/>
    <x v="0"/>
    <s v="P101"/>
    <n v="8"/>
    <n v="55000"/>
    <n v="0.05"/>
    <x v="5"/>
    <x v="1"/>
    <n v="41000"/>
    <n v="418000"/>
    <n v="328000"/>
    <n v="90000"/>
    <x v="1"/>
  </r>
  <r>
    <x v="834"/>
    <d v="2025-11-23T00:00:00"/>
    <s v="Customer 029"/>
    <x v="3"/>
    <x v="3"/>
    <s v="P108"/>
    <n v="3"/>
    <n v="1500"/>
    <n v="0"/>
    <x v="0"/>
    <x v="0"/>
    <n v="980"/>
    <n v="4500"/>
    <n v="2940"/>
    <n v="1560"/>
    <x v="3"/>
  </r>
  <r>
    <x v="835"/>
    <d v="2025-06-27T00:00:00"/>
    <s v="Customer 040"/>
    <x v="1"/>
    <x v="1"/>
    <s v="P105"/>
    <n v="10"/>
    <n v="900"/>
    <n v="0.05"/>
    <x v="4"/>
    <x v="0"/>
    <n v="600"/>
    <n v="8550"/>
    <n v="6000"/>
    <n v="2550"/>
    <x v="4"/>
  </r>
  <r>
    <x v="836"/>
    <d v="2025-03-28T00:00:00"/>
    <s v="Customer 024"/>
    <x v="0"/>
    <x v="7"/>
    <s v="P104"/>
    <n v="14"/>
    <n v="8000"/>
    <n v="0"/>
    <x v="6"/>
    <x v="1"/>
    <n v="6200"/>
    <n v="112000"/>
    <n v="86800"/>
    <n v="25200"/>
    <x v="7"/>
  </r>
  <r>
    <x v="837"/>
    <d v="2025-10-10T00:00:00"/>
    <s v="Customer 049"/>
    <x v="1"/>
    <x v="1"/>
    <s v="P106"/>
    <n v="1"/>
    <n v="500"/>
    <n v="0.15"/>
    <x v="7"/>
    <x v="0"/>
    <n v="320"/>
    <n v="425"/>
    <n v="320"/>
    <n v="105"/>
    <x v="10"/>
  </r>
  <r>
    <x v="838"/>
    <d v="2025-02-02T00:00:00"/>
    <s v="Customer 031"/>
    <x v="3"/>
    <x v="6"/>
    <s v="P108"/>
    <n v="1"/>
    <n v="1500"/>
    <n v="0"/>
    <x v="0"/>
    <x v="0"/>
    <n v="980"/>
    <n v="1500"/>
    <n v="980"/>
    <n v="520"/>
    <x v="2"/>
  </r>
  <r>
    <x v="839"/>
    <d v="2025-11-19T00:00:00"/>
    <s v="Customer 004"/>
    <x v="1"/>
    <x v="1"/>
    <s v="P106"/>
    <n v="8"/>
    <n v="500"/>
    <n v="0.05"/>
    <x v="7"/>
    <x v="0"/>
    <n v="320"/>
    <n v="3800"/>
    <n v="2560"/>
    <n v="1240"/>
    <x v="3"/>
  </r>
  <r>
    <x v="840"/>
    <d v="2025-01-15T00:00:00"/>
    <s v="Customer 034"/>
    <x v="1"/>
    <x v="1"/>
    <s v="P108"/>
    <n v="9"/>
    <n v="1500"/>
    <n v="0.05"/>
    <x v="0"/>
    <x v="0"/>
    <n v="980"/>
    <n v="12825"/>
    <n v="8820"/>
    <n v="4005"/>
    <x v="9"/>
  </r>
  <r>
    <x v="841"/>
    <d v="2025-06-05T00:00:00"/>
    <s v="Customer 037"/>
    <x v="2"/>
    <x v="4"/>
    <s v="P104"/>
    <n v="9"/>
    <n v="8000"/>
    <n v="0"/>
    <x v="6"/>
    <x v="1"/>
    <n v="6200"/>
    <n v="72000"/>
    <n v="55800"/>
    <n v="16200"/>
    <x v="4"/>
  </r>
  <r>
    <x v="842"/>
    <d v="2025-05-15T00:00:00"/>
    <s v="Customer 018"/>
    <x v="3"/>
    <x v="6"/>
    <s v="P108"/>
    <n v="10"/>
    <n v="1500"/>
    <n v="0.15"/>
    <x v="0"/>
    <x v="0"/>
    <n v="980"/>
    <n v="12750"/>
    <n v="9800"/>
    <n v="2950"/>
    <x v="8"/>
  </r>
  <r>
    <x v="843"/>
    <d v="2025-11-07T00:00:00"/>
    <s v="Customer 014"/>
    <x v="0"/>
    <x v="7"/>
    <s v="P105"/>
    <n v="6"/>
    <n v="900"/>
    <n v="0.15"/>
    <x v="4"/>
    <x v="0"/>
    <n v="600"/>
    <n v="4590"/>
    <n v="3600"/>
    <n v="990"/>
    <x v="3"/>
  </r>
  <r>
    <x v="844"/>
    <d v="2025-11-19T00:00:00"/>
    <s v="Customer 018"/>
    <x v="3"/>
    <x v="3"/>
    <s v="P106"/>
    <n v="6"/>
    <n v="500"/>
    <n v="0"/>
    <x v="7"/>
    <x v="0"/>
    <n v="320"/>
    <n v="3000"/>
    <n v="1920"/>
    <n v="1080"/>
    <x v="3"/>
  </r>
  <r>
    <x v="845"/>
    <d v="2025-11-17T00:00:00"/>
    <s v="Customer 044"/>
    <x v="2"/>
    <x v="4"/>
    <s v="P103"/>
    <n v="3"/>
    <n v="12000"/>
    <n v="0"/>
    <x v="1"/>
    <x v="1"/>
    <n v="9000"/>
    <n v="36000"/>
    <n v="27000"/>
    <n v="9000"/>
    <x v="3"/>
  </r>
  <r>
    <x v="846"/>
    <d v="2025-09-29T00:00:00"/>
    <s v="Customer 004"/>
    <x v="0"/>
    <x v="0"/>
    <s v="P106"/>
    <n v="6"/>
    <n v="500"/>
    <n v="0"/>
    <x v="7"/>
    <x v="0"/>
    <n v="320"/>
    <n v="3000"/>
    <n v="1920"/>
    <n v="1080"/>
    <x v="1"/>
  </r>
  <r>
    <x v="847"/>
    <d v="2025-02-26T00:00:00"/>
    <s v="Customer 001"/>
    <x v="0"/>
    <x v="7"/>
    <s v="P106"/>
    <n v="5"/>
    <n v="500"/>
    <n v="0.1"/>
    <x v="7"/>
    <x v="0"/>
    <n v="320"/>
    <n v="2250"/>
    <n v="1600"/>
    <n v="650"/>
    <x v="2"/>
  </r>
  <r>
    <x v="848"/>
    <d v="2025-06-07T00:00:00"/>
    <s v="Customer 020"/>
    <x v="0"/>
    <x v="7"/>
    <s v="P104"/>
    <n v="8"/>
    <n v="8000"/>
    <n v="0"/>
    <x v="6"/>
    <x v="1"/>
    <n v="6200"/>
    <n v="64000"/>
    <n v="49600"/>
    <n v="14400"/>
    <x v="4"/>
  </r>
  <r>
    <x v="849"/>
    <d v="2025-01-30T00:00:00"/>
    <s v="Customer 007"/>
    <x v="3"/>
    <x v="6"/>
    <s v="P101"/>
    <n v="15"/>
    <n v="55000"/>
    <n v="0"/>
    <x v="5"/>
    <x v="1"/>
    <n v="41000"/>
    <n v="825000"/>
    <n v="615000"/>
    <n v="210000"/>
    <x v="9"/>
  </r>
  <r>
    <x v="850"/>
    <d v="2025-11-19T00:00:00"/>
    <s v="Customer 041"/>
    <x v="1"/>
    <x v="5"/>
    <s v="P102"/>
    <n v="8"/>
    <n v="18000"/>
    <n v="0"/>
    <x v="3"/>
    <x v="1"/>
    <n v="13500"/>
    <n v="144000"/>
    <n v="108000"/>
    <n v="36000"/>
    <x v="3"/>
  </r>
  <r>
    <x v="851"/>
    <d v="2025-02-16T00:00:00"/>
    <s v="Customer 051"/>
    <x v="3"/>
    <x v="6"/>
    <s v="P102"/>
    <n v="9"/>
    <n v="18000"/>
    <n v="0"/>
    <x v="3"/>
    <x v="1"/>
    <n v="13500"/>
    <n v="162000"/>
    <n v="121500"/>
    <n v="40500"/>
    <x v="2"/>
  </r>
  <r>
    <x v="852"/>
    <d v="2025-11-21T00:00:00"/>
    <s v="Customer 038"/>
    <x v="0"/>
    <x v="0"/>
    <s v="P103"/>
    <n v="10"/>
    <n v="12000"/>
    <n v="0"/>
    <x v="1"/>
    <x v="1"/>
    <n v="9000"/>
    <n v="120000"/>
    <n v="90000"/>
    <n v="30000"/>
    <x v="3"/>
  </r>
  <r>
    <x v="853"/>
    <d v="2025-07-20T00:00:00"/>
    <s v="Customer 040"/>
    <x v="0"/>
    <x v="0"/>
    <s v="P107"/>
    <n v="5"/>
    <n v="2000"/>
    <n v="0.15"/>
    <x v="2"/>
    <x v="0"/>
    <n v="1300"/>
    <n v="8500"/>
    <n v="6500"/>
    <n v="2000"/>
    <x v="5"/>
  </r>
  <r>
    <x v="854"/>
    <d v="2025-07-24T00:00:00"/>
    <s v="Customer 031"/>
    <x v="1"/>
    <x v="5"/>
    <s v="P102"/>
    <n v="2"/>
    <n v="18000"/>
    <n v="0"/>
    <x v="3"/>
    <x v="1"/>
    <n v="13500"/>
    <n v="36000"/>
    <n v="27000"/>
    <n v="9000"/>
    <x v="5"/>
  </r>
  <r>
    <x v="855"/>
    <d v="2025-04-23T00:00:00"/>
    <s v="Customer 023"/>
    <x v="2"/>
    <x v="2"/>
    <s v="P104"/>
    <n v="7"/>
    <n v="8000"/>
    <n v="0"/>
    <x v="6"/>
    <x v="1"/>
    <n v="6200"/>
    <n v="56000"/>
    <n v="43400"/>
    <n v="12600"/>
    <x v="6"/>
  </r>
  <r>
    <x v="856"/>
    <d v="2025-10-14T00:00:00"/>
    <s v="Customer 053"/>
    <x v="3"/>
    <x v="6"/>
    <s v="P101"/>
    <n v="10"/>
    <n v="55000"/>
    <n v="0.05"/>
    <x v="5"/>
    <x v="1"/>
    <n v="41000"/>
    <n v="522500"/>
    <n v="410000"/>
    <n v="112500"/>
    <x v="10"/>
  </r>
  <r>
    <x v="857"/>
    <d v="2025-02-13T00:00:00"/>
    <s v="Customer 040"/>
    <x v="0"/>
    <x v="7"/>
    <s v="P106"/>
    <n v="1"/>
    <n v="500"/>
    <n v="0.1"/>
    <x v="7"/>
    <x v="0"/>
    <n v="320"/>
    <n v="450"/>
    <n v="320"/>
    <n v="130"/>
    <x v="2"/>
  </r>
  <r>
    <x v="858"/>
    <d v="2025-04-11T00:00:00"/>
    <s v="Customer 047"/>
    <x v="0"/>
    <x v="7"/>
    <s v="P108"/>
    <n v="3"/>
    <n v="1500"/>
    <n v="0"/>
    <x v="0"/>
    <x v="0"/>
    <n v="980"/>
    <n v="4500"/>
    <n v="2940"/>
    <n v="1560"/>
    <x v="6"/>
  </r>
  <r>
    <x v="859"/>
    <d v="2025-02-05T00:00:00"/>
    <s v="Customer 045"/>
    <x v="3"/>
    <x v="6"/>
    <s v="P103"/>
    <n v="7"/>
    <n v="12000"/>
    <n v="0.1"/>
    <x v="1"/>
    <x v="1"/>
    <n v="9000"/>
    <n v="75600"/>
    <n v="63000"/>
    <n v="12600"/>
    <x v="2"/>
  </r>
  <r>
    <x v="860"/>
    <d v="2025-09-11T00:00:00"/>
    <s v="Customer 031"/>
    <x v="3"/>
    <x v="3"/>
    <s v="P107"/>
    <n v="12"/>
    <n v="2000"/>
    <n v="0"/>
    <x v="2"/>
    <x v="0"/>
    <n v="1300"/>
    <n v="24000"/>
    <n v="15600"/>
    <n v="8400"/>
    <x v="1"/>
  </r>
  <r>
    <x v="861"/>
    <d v="2025-03-15T00:00:00"/>
    <s v="Customer 003"/>
    <x v="2"/>
    <x v="2"/>
    <s v="P107"/>
    <n v="5"/>
    <n v="2000"/>
    <n v="0.15"/>
    <x v="2"/>
    <x v="0"/>
    <n v="1300"/>
    <n v="8500"/>
    <n v="6500"/>
    <n v="2000"/>
    <x v="7"/>
  </r>
  <r>
    <x v="862"/>
    <d v="2025-11-26T00:00:00"/>
    <s v="Customer 005"/>
    <x v="0"/>
    <x v="7"/>
    <s v="P104"/>
    <n v="12"/>
    <n v="8000"/>
    <n v="0.05"/>
    <x v="6"/>
    <x v="1"/>
    <n v="6200"/>
    <n v="91200"/>
    <n v="74400"/>
    <n v="16800"/>
    <x v="3"/>
  </r>
  <r>
    <x v="863"/>
    <d v="2025-04-04T00:00:00"/>
    <s v="Customer 017"/>
    <x v="2"/>
    <x v="2"/>
    <s v="P108"/>
    <n v="3"/>
    <n v="1500"/>
    <n v="0.1"/>
    <x v="0"/>
    <x v="0"/>
    <n v="980"/>
    <n v="4050"/>
    <n v="2940"/>
    <n v="1110"/>
    <x v="6"/>
  </r>
  <r>
    <x v="864"/>
    <d v="2025-10-21T00:00:00"/>
    <s v="Customer 016"/>
    <x v="2"/>
    <x v="2"/>
    <s v="P101"/>
    <n v="10"/>
    <n v="55000"/>
    <n v="0"/>
    <x v="5"/>
    <x v="1"/>
    <n v="41000"/>
    <n v="550000"/>
    <n v="410000"/>
    <n v="140000"/>
    <x v="10"/>
  </r>
  <r>
    <x v="865"/>
    <d v="2025-10-05T00:00:00"/>
    <s v="Customer 055"/>
    <x v="2"/>
    <x v="2"/>
    <s v="P105"/>
    <n v="13"/>
    <n v="900"/>
    <n v="0.15"/>
    <x v="4"/>
    <x v="0"/>
    <n v="600"/>
    <n v="9945"/>
    <n v="7800"/>
    <n v="2145"/>
    <x v="10"/>
  </r>
  <r>
    <x v="866"/>
    <d v="2025-06-08T00:00:00"/>
    <s v="Customer 032"/>
    <x v="3"/>
    <x v="6"/>
    <s v="P104"/>
    <n v="7"/>
    <n v="8000"/>
    <n v="0"/>
    <x v="6"/>
    <x v="1"/>
    <n v="6200"/>
    <n v="56000"/>
    <n v="43400"/>
    <n v="12600"/>
    <x v="4"/>
  </r>
  <r>
    <x v="867"/>
    <d v="2025-05-11T00:00:00"/>
    <s v="Customer 006"/>
    <x v="1"/>
    <x v="1"/>
    <s v="P105"/>
    <n v="10"/>
    <n v="900"/>
    <n v="0.05"/>
    <x v="4"/>
    <x v="0"/>
    <n v="600"/>
    <n v="8550"/>
    <n v="6000"/>
    <n v="2550"/>
    <x v="8"/>
  </r>
  <r>
    <x v="868"/>
    <d v="2025-05-23T00:00:00"/>
    <s v="Customer 038"/>
    <x v="2"/>
    <x v="2"/>
    <s v="P108"/>
    <n v="9"/>
    <n v="1500"/>
    <n v="0.1"/>
    <x v="0"/>
    <x v="0"/>
    <n v="980"/>
    <n v="12150"/>
    <n v="8820"/>
    <n v="3330"/>
    <x v="8"/>
  </r>
  <r>
    <x v="869"/>
    <d v="2025-08-05T00:00:00"/>
    <s v="Customer 020"/>
    <x v="0"/>
    <x v="0"/>
    <s v="P107"/>
    <n v="6"/>
    <n v="2000"/>
    <n v="0"/>
    <x v="2"/>
    <x v="0"/>
    <n v="1300"/>
    <n v="12000"/>
    <n v="7800"/>
    <n v="4200"/>
    <x v="0"/>
  </r>
  <r>
    <x v="870"/>
    <d v="2025-05-05T00:00:00"/>
    <s v="Customer 040"/>
    <x v="0"/>
    <x v="7"/>
    <s v="P101"/>
    <n v="1"/>
    <n v="55000"/>
    <n v="0.05"/>
    <x v="5"/>
    <x v="1"/>
    <n v="41000"/>
    <n v="52250"/>
    <n v="41000"/>
    <n v="11250"/>
    <x v="8"/>
  </r>
  <r>
    <x v="871"/>
    <d v="2025-06-13T00:00:00"/>
    <s v="Customer 032"/>
    <x v="2"/>
    <x v="4"/>
    <s v="P108"/>
    <n v="15"/>
    <n v="1500"/>
    <n v="0"/>
    <x v="0"/>
    <x v="0"/>
    <n v="980"/>
    <n v="22500"/>
    <n v="14700"/>
    <n v="7800"/>
    <x v="4"/>
  </r>
  <r>
    <x v="872"/>
    <d v="2025-06-29T00:00:00"/>
    <s v="Customer 019"/>
    <x v="2"/>
    <x v="2"/>
    <s v="P107"/>
    <n v="7"/>
    <n v="2000"/>
    <n v="0"/>
    <x v="2"/>
    <x v="0"/>
    <n v="1300"/>
    <n v="14000"/>
    <n v="9100"/>
    <n v="4900"/>
    <x v="4"/>
  </r>
  <r>
    <x v="873"/>
    <d v="2025-05-09T00:00:00"/>
    <s v="Customer 039"/>
    <x v="0"/>
    <x v="0"/>
    <s v="P108"/>
    <n v="13"/>
    <n v="1500"/>
    <n v="0"/>
    <x v="0"/>
    <x v="0"/>
    <n v="980"/>
    <n v="19500"/>
    <n v="12740"/>
    <n v="6760"/>
    <x v="8"/>
  </r>
  <r>
    <x v="874"/>
    <d v="2025-07-10T00:00:00"/>
    <s v="Customer 059"/>
    <x v="0"/>
    <x v="7"/>
    <s v="P101"/>
    <n v="12"/>
    <n v="55000"/>
    <n v="0.05"/>
    <x v="5"/>
    <x v="1"/>
    <n v="41000"/>
    <n v="627000"/>
    <n v="492000"/>
    <n v="135000"/>
    <x v="5"/>
  </r>
  <r>
    <x v="875"/>
    <d v="2025-10-01T00:00:00"/>
    <s v="Customer 004"/>
    <x v="3"/>
    <x v="3"/>
    <s v="P105"/>
    <n v="4"/>
    <n v="900"/>
    <n v="0"/>
    <x v="4"/>
    <x v="0"/>
    <n v="600"/>
    <n v="3600"/>
    <n v="2400"/>
    <n v="1200"/>
    <x v="10"/>
  </r>
  <r>
    <x v="876"/>
    <d v="2025-04-24T00:00:00"/>
    <s v="Customer 014"/>
    <x v="3"/>
    <x v="6"/>
    <s v="P108"/>
    <n v="1"/>
    <n v="1500"/>
    <n v="0"/>
    <x v="0"/>
    <x v="0"/>
    <n v="980"/>
    <n v="1500"/>
    <n v="980"/>
    <n v="520"/>
    <x v="6"/>
  </r>
  <r>
    <x v="877"/>
    <d v="2025-11-14T00:00:00"/>
    <s v="Customer 031"/>
    <x v="0"/>
    <x v="7"/>
    <s v="P108"/>
    <n v="11"/>
    <n v="1500"/>
    <n v="0.15"/>
    <x v="0"/>
    <x v="0"/>
    <n v="980"/>
    <n v="14025"/>
    <n v="10780"/>
    <n v="3245"/>
    <x v="3"/>
  </r>
  <r>
    <x v="878"/>
    <d v="2025-02-27T00:00:00"/>
    <s v="Customer 040"/>
    <x v="0"/>
    <x v="7"/>
    <s v="P106"/>
    <n v="2"/>
    <n v="500"/>
    <n v="0.1"/>
    <x v="7"/>
    <x v="0"/>
    <n v="320"/>
    <n v="900"/>
    <n v="640"/>
    <n v="260"/>
    <x v="2"/>
  </r>
  <r>
    <x v="879"/>
    <d v="2025-11-11T00:00:00"/>
    <s v="Customer 017"/>
    <x v="2"/>
    <x v="4"/>
    <s v="P105"/>
    <n v="12"/>
    <n v="900"/>
    <n v="0.05"/>
    <x v="4"/>
    <x v="0"/>
    <n v="600"/>
    <n v="10260"/>
    <n v="7200"/>
    <n v="3060"/>
    <x v="3"/>
  </r>
  <r>
    <x v="880"/>
    <d v="2025-02-06T00:00:00"/>
    <s v="Customer 053"/>
    <x v="2"/>
    <x v="2"/>
    <s v="P101"/>
    <n v="4"/>
    <n v="55000"/>
    <n v="0.05"/>
    <x v="5"/>
    <x v="1"/>
    <n v="41000"/>
    <n v="209000"/>
    <n v="164000"/>
    <n v="45000"/>
    <x v="2"/>
  </r>
  <r>
    <x v="881"/>
    <d v="2025-11-01T00:00:00"/>
    <s v="Customer 038"/>
    <x v="0"/>
    <x v="0"/>
    <s v="P103"/>
    <n v="12"/>
    <n v="12000"/>
    <n v="0"/>
    <x v="1"/>
    <x v="1"/>
    <n v="9000"/>
    <n v="144000"/>
    <n v="108000"/>
    <n v="36000"/>
    <x v="3"/>
  </r>
  <r>
    <x v="882"/>
    <d v="2025-02-04T00:00:00"/>
    <s v="Customer 002"/>
    <x v="1"/>
    <x v="5"/>
    <s v="P105"/>
    <n v="3"/>
    <n v="900"/>
    <n v="0.1"/>
    <x v="4"/>
    <x v="0"/>
    <n v="600"/>
    <n v="2430"/>
    <n v="1800"/>
    <n v="630"/>
    <x v="2"/>
  </r>
  <r>
    <x v="883"/>
    <d v="2025-05-31T00:00:00"/>
    <s v="Customer 051"/>
    <x v="3"/>
    <x v="6"/>
    <s v="P105"/>
    <n v="15"/>
    <n v="900"/>
    <n v="0"/>
    <x v="4"/>
    <x v="0"/>
    <n v="600"/>
    <n v="13500"/>
    <n v="9000"/>
    <n v="4500"/>
    <x v="8"/>
  </r>
  <r>
    <x v="884"/>
    <d v="2025-09-25T00:00:00"/>
    <s v="Customer 034"/>
    <x v="1"/>
    <x v="5"/>
    <s v="P105"/>
    <n v="12"/>
    <n v="900"/>
    <n v="0"/>
    <x v="4"/>
    <x v="0"/>
    <n v="600"/>
    <n v="10800"/>
    <n v="7200"/>
    <n v="3600"/>
    <x v="1"/>
  </r>
  <r>
    <x v="885"/>
    <d v="2025-06-03T00:00:00"/>
    <s v="Customer 044"/>
    <x v="1"/>
    <x v="5"/>
    <s v="P103"/>
    <n v="5"/>
    <n v="12000"/>
    <n v="0"/>
    <x v="1"/>
    <x v="1"/>
    <n v="9000"/>
    <n v="60000"/>
    <n v="45000"/>
    <n v="15000"/>
    <x v="4"/>
  </r>
  <r>
    <x v="886"/>
    <d v="2025-07-09T00:00:00"/>
    <s v="Customer 044"/>
    <x v="2"/>
    <x v="4"/>
    <s v="P101"/>
    <n v="2"/>
    <n v="55000"/>
    <n v="0.05"/>
    <x v="5"/>
    <x v="1"/>
    <n v="41000"/>
    <n v="104500"/>
    <n v="82000"/>
    <n v="22500"/>
    <x v="5"/>
  </r>
  <r>
    <x v="887"/>
    <d v="2025-04-19T00:00:00"/>
    <s v="Customer 006"/>
    <x v="1"/>
    <x v="1"/>
    <s v="P101"/>
    <n v="5"/>
    <n v="55000"/>
    <n v="0"/>
    <x v="5"/>
    <x v="1"/>
    <n v="41000"/>
    <n v="275000"/>
    <n v="205000"/>
    <n v="70000"/>
    <x v="6"/>
  </r>
  <r>
    <x v="888"/>
    <d v="2025-01-13T00:00:00"/>
    <s v="Customer 004"/>
    <x v="3"/>
    <x v="6"/>
    <s v="P103"/>
    <n v="8"/>
    <n v="12000"/>
    <n v="0.1"/>
    <x v="1"/>
    <x v="1"/>
    <n v="9000"/>
    <n v="86400"/>
    <n v="72000"/>
    <n v="14400"/>
    <x v="9"/>
  </r>
  <r>
    <x v="889"/>
    <d v="2025-11-24T00:00:00"/>
    <s v="Customer 051"/>
    <x v="2"/>
    <x v="2"/>
    <s v="P104"/>
    <n v="8"/>
    <n v="8000"/>
    <n v="0"/>
    <x v="6"/>
    <x v="1"/>
    <n v="6200"/>
    <n v="64000"/>
    <n v="49600"/>
    <n v="14400"/>
    <x v="3"/>
  </r>
  <r>
    <x v="890"/>
    <d v="2025-10-16T00:00:00"/>
    <s v="Customer 006"/>
    <x v="3"/>
    <x v="3"/>
    <s v="P101"/>
    <n v="10"/>
    <n v="55000"/>
    <n v="0"/>
    <x v="5"/>
    <x v="1"/>
    <n v="41000"/>
    <n v="550000"/>
    <n v="410000"/>
    <n v="140000"/>
    <x v="10"/>
  </r>
  <r>
    <x v="891"/>
    <d v="2025-12-19T00:00:00"/>
    <s v="Customer 012"/>
    <x v="1"/>
    <x v="5"/>
    <s v="P102"/>
    <n v="1"/>
    <n v="18000"/>
    <n v="0"/>
    <x v="3"/>
    <x v="1"/>
    <n v="13500"/>
    <n v="18000"/>
    <n v="13500"/>
    <n v="4500"/>
    <x v="11"/>
  </r>
  <r>
    <x v="892"/>
    <d v="2025-06-20T00:00:00"/>
    <s v="Customer 005"/>
    <x v="2"/>
    <x v="2"/>
    <s v="P102"/>
    <n v="1"/>
    <n v="18000"/>
    <n v="0.15"/>
    <x v="3"/>
    <x v="1"/>
    <n v="13500"/>
    <n v="15300"/>
    <n v="13500"/>
    <n v="1800"/>
    <x v="4"/>
  </r>
  <r>
    <x v="893"/>
    <d v="2025-09-21T00:00:00"/>
    <s v="Customer 055"/>
    <x v="3"/>
    <x v="6"/>
    <s v="P104"/>
    <n v="14"/>
    <n v="8000"/>
    <n v="0.1"/>
    <x v="6"/>
    <x v="1"/>
    <n v="6200"/>
    <n v="100800"/>
    <n v="86800"/>
    <n v="14000"/>
    <x v="1"/>
  </r>
  <r>
    <x v="894"/>
    <d v="2025-12-14T00:00:00"/>
    <s v="Customer 006"/>
    <x v="2"/>
    <x v="2"/>
    <s v="P104"/>
    <n v="8"/>
    <n v="8000"/>
    <n v="0"/>
    <x v="6"/>
    <x v="1"/>
    <n v="6200"/>
    <n v="64000"/>
    <n v="49600"/>
    <n v="14400"/>
    <x v="11"/>
  </r>
  <r>
    <x v="895"/>
    <d v="2025-01-08T00:00:00"/>
    <s v="Customer 009"/>
    <x v="3"/>
    <x v="6"/>
    <s v="P101"/>
    <n v="7"/>
    <n v="55000"/>
    <n v="0.1"/>
    <x v="5"/>
    <x v="1"/>
    <n v="41000"/>
    <n v="346500"/>
    <n v="287000"/>
    <n v="59500"/>
    <x v="9"/>
  </r>
  <r>
    <x v="896"/>
    <d v="2025-05-18T00:00:00"/>
    <s v="Customer 050"/>
    <x v="2"/>
    <x v="2"/>
    <s v="P108"/>
    <n v="1"/>
    <n v="1500"/>
    <n v="0"/>
    <x v="0"/>
    <x v="0"/>
    <n v="980"/>
    <n v="1500"/>
    <n v="980"/>
    <n v="520"/>
    <x v="8"/>
  </r>
  <r>
    <x v="897"/>
    <d v="2025-11-14T00:00:00"/>
    <s v="Customer 034"/>
    <x v="0"/>
    <x v="0"/>
    <s v="P103"/>
    <n v="2"/>
    <n v="12000"/>
    <n v="0.1"/>
    <x v="1"/>
    <x v="1"/>
    <n v="9000"/>
    <n v="21600"/>
    <n v="18000"/>
    <n v="3600"/>
    <x v="3"/>
  </r>
  <r>
    <x v="898"/>
    <d v="2025-01-29T00:00:00"/>
    <s v="Customer 029"/>
    <x v="3"/>
    <x v="3"/>
    <s v="P108"/>
    <n v="9"/>
    <n v="1500"/>
    <n v="0.1"/>
    <x v="0"/>
    <x v="0"/>
    <n v="980"/>
    <n v="12150"/>
    <n v="8820"/>
    <n v="3330"/>
    <x v="9"/>
  </r>
  <r>
    <x v="899"/>
    <d v="2025-06-21T00:00:00"/>
    <s v="Customer 051"/>
    <x v="3"/>
    <x v="3"/>
    <s v="P104"/>
    <n v="4"/>
    <n v="8000"/>
    <n v="0.15"/>
    <x v="6"/>
    <x v="1"/>
    <n v="6200"/>
    <n v="27200"/>
    <n v="24800"/>
    <n v="2400"/>
    <x v="4"/>
  </r>
  <r>
    <x v="900"/>
    <d v="2025-01-22T00:00:00"/>
    <s v="Customer 027"/>
    <x v="2"/>
    <x v="4"/>
    <s v="P101"/>
    <n v="4"/>
    <n v="55000"/>
    <n v="0"/>
    <x v="5"/>
    <x v="1"/>
    <n v="41000"/>
    <n v="220000"/>
    <n v="164000"/>
    <n v="56000"/>
    <x v="9"/>
  </r>
  <r>
    <x v="901"/>
    <d v="2025-11-25T00:00:00"/>
    <s v="Customer 038"/>
    <x v="0"/>
    <x v="7"/>
    <s v="P104"/>
    <n v="8"/>
    <n v="8000"/>
    <n v="0"/>
    <x v="6"/>
    <x v="1"/>
    <n v="6200"/>
    <n v="64000"/>
    <n v="49600"/>
    <n v="14400"/>
    <x v="3"/>
  </r>
  <r>
    <x v="902"/>
    <d v="2025-07-29T00:00:00"/>
    <s v="Customer 030"/>
    <x v="0"/>
    <x v="0"/>
    <s v="P105"/>
    <n v="2"/>
    <n v="900"/>
    <n v="0.15"/>
    <x v="4"/>
    <x v="0"/>
    <n v="600"/>
    <n v="1530"/>
    <n v="1200"/>
    <n v="330"/>
    <x v="5"/>
  </r>
  <r>
    <x v="903"/>
    <d v="2025-05-10T00:00:00"/>
    <s v="Customer 002"/>
    <x v="1"/>
    <x v="1"/>
    <s v="P105"/>
    <n v="1"/>
    <n v="900"/>
    <n v="0"/>
    <x v="4"/>
    <x v="0"/>
    <n v="600"/>
    <n v="900"/>
    <n v="600"/>
    <n v="300"/>
    <x v="8"/>
  </r>
  <r>
    <x v="904"/>
    <d v="2025-06-26T00:00:00"/>
    <s v="Customer 055"/>
    <x v="0"/>
    <x v="7"/>
    <s v="P101"/>
    <n v="4"/>
    <n v="55000"/>
    <n v="0"/>
    <x v="5"/>
    <x v="1"/>
    <n v="41000"/>
    <n v="220000"/>
    <n v="164000"/>
    <n v="56000"/>
    <x v="4"/>
  </r>
  <r>
    <x v="905"/>
    <d v="2025-12-14T00:00:00"/>
    <s v="Customer 009"/>
    <x v="2"/>
    <x v="2"/>
    <s v="P103"/>
    <n v="11"/>
    <n v="12000"/>
    <n v="0"/>
    <x v="1"/>
    <x v="1"/>
    <n v="9000"/>
    <n v="132000"/>
    <n v="99000"/>
    <n v="33000"/>
    <x v="11"/>
  </r>
  <r>
    <x v="906"/>
    <d v="2025-04-07T00:00:00"/>
    <s v="Customer 025"/>
    <x v="1"/>
    <x v="1"/>
    <s v="P106"/>
    <n v="10"/>
    <n v="500"/>
    <n v="0.1"/>
    <x v="7"/>
    <x v="0"/>
    <n v="320"/>
    <n v="4500"/>
    <n v="3200"/>
    <n v="1300"/>
    <x v="6"/>
  </r>
  <r>
    <x v="907"/>
    <d v="2025-02-09T00:00:00"/>
    <s v="Customer 012"/>
    <x v="1"/>
    <x v="5"/>
    <s v="P101"/>
    <n v="1"/>
    <n v="55000"/>
    <n v="0"/>
    <x v="5"/>
    <x v="1"/>
    <n v="41000"/>
    <n v="55000"/>
    <n v="41000"/>
    <n v="14000"/>
    <x v="2"/>
  </r>
  <r>
    <x v="908"/>
    <d v="2025-06-17T00:00:00"/>
    <s v="Customer 009"/>
    <x v="1"/>
    <x v="1"/>
    <s v="P106"/>
    <n v="6"/>
    <n v="500"/>
    <n v="0.1"/>
    <x v="7"/>
    <x v="0"/>
    <n v="320"/>
    <n v="2700"/>
    <n v="1920"/>
    <n v="780"/>
    <x v="4"/>
  </r>
  <r>
    <x v="909"/>
    <d v="2025-10-19T00:00:00"/>
    <s v="Customer 012"/>
    <x v="2"/>
    <x v="4"/>
    <s v="P107"/>
    <n v="6"/>
    <n v="2000"/>
    <n v="0"/>
    <x v="2"/>
    <x v="0"/>
    <n v="1300"/>
    <n v="12000"/>
    <n v="7800"/>
    <n v="4200"/>
    <x v="10"/>
  </r>
  <r>
    <x v="910"/>
    <d v="2025-02-27T00:00:00"/>
    <s v="Customer 049"/>
    <x v="3"/>
    <x v="6"/>
    <s v="P108"/>
    <n v="6"/>
    <n v="1500"/>
    <n v="0"/>
    <x v="0"/>
    <x v="0"/>
    <n v="980"/>
    <n v="9000"/>
    <n v="5880"/>
    <n v="3120"/>
    <x v="2"/>
  </r>
  <r>
    <x v="911"/>
    <d v="2025-02-19T00:00:00"/>
    <s v="Customer 005"/>
    <x v="2"/>
    <x v="2"/>
    <s v="P106"/>
    <n v="12"/>
    <n v="500"/>
    <n v="0"/>
    <x v="7"/>
    <x v="0"/>
    <n v="320"/>
    <n v="6000"/>
    <n v="3840"/>
    <n v="2160"/>
    <x v="2"/>
  </r>
  <r>
    <x v="912"/>
    <d v="2025-09-28T00:00:00"/>
    <s v="Customer 032"/>
    <x v="1"/>
    <x v="5"/>
    <s v="P107"/>
    <n v="9"/>
    <n v="2000"/>
    <n v="0"/>
    <x v="2"/>
    <x v="0"/>
    <n v="1300"/>
    <n v="18000"/>
    <n v="11700"/>
    <n v="6300"/>
    <x v="1"/>
  </r>
  <r>
    <x v="913"/>
    <d v="2025-04-02T00:00:00"/>
    <s v="Customer 006"/>
    <x v="2"/>
    <x v="2"/>
    <s v="P101"/>
    <n v="1"/>
    <n v="55000"/>
    <n v="0.1"/>
    <x v="5"/>
    <x v="1"/>
    <n v="41000"/>
    <n v="49500"/>
    <n v="41000"/>
    <n v="8500"/>
    <x v="6"/>
  </r>
  <r>
    <x v="914"/>
    <d v="2025-04-17T00:00:00"/>
    <s v="Customer 020"/>
    <x v="3"/>
    <x v="3"/>
    <s v="P101"/>
    <n v="15"/>
    <n v="55000"/>
    <n v="0.15"/>
    <x v="5"/>
    <x v="1"/>
    <n v="41000"/>
    <n v="701250"/>
    <n v="615000"/>
    <n v="86250"/>
    <x v="6"/>
  </r>
  <r>
    <x v="915"/>
    <d v="2025-10-04T00:00:00"/>
    <s v="Customer 059"/>
    <x v="0"/>
    <x v="0"/>
    <s v="P108"/>
    <n v="2"/>
    <n v="1500"/>
    <n v="0.1"/>
    <x v="0"/>
    <x v="0"/>
    <n v="980"/>
    <n v="2700"/>
    <n v="1960"/>
    <n v="740"/>
    <x v="10"/>
  </r>
  <r>
    <x v="916"/>
    <d v="2025-07-21T00:00:00"/>
    <s v="Customer 047"/>
    <x v="2"/>
    <x v="4"/>
    <s v="P103"/>
    <n v="15"/>
    <n v="12000"/>
    <n v="0"/>
    <x v="1"/>
    <x v="1"/>
    <n v="9000"/>
    <n v="180000"/>
    <n v="135000"/>
    <n v="45000"/>
    <x v="5"/>
  </r>
  <r>
    <x v="917"/>
    <d v="2025-01-25T00:00:00"/>
    <s v="Customer 053"/>
    <x v="0"/>
    <x v="7"/>
    <s v="P101"/>
    <n v="12"/>
    <n v="55000"/>
    <n v="0.05"/>
    <x v="5"/>
    <x v="1"/>
    <n v="41000"/>
    <n v="627000"/>
    <n v="492000"/>
    <n v="135000"/>
    <x v="9"/>
  </r>
  <r>
    <x v="918"/>
    <d v="2025-03-09T00:00:00"/>
    <s v="Customer 058"/>
    <x v="1"/>
    <x v="1"/>
    <s v="P105"/>
    <n v="13"/>
    <n v="900"/>
    <n v="0"/>
    <x v="4"/>
    <x v="0"/>
    <n v="600"/>
    <n v="11700"/>
    <n v="7800"/>
    <n v="3900"/>
    <x v="7"/>
  </r>
  <r>
    <x v="919"/>
    <d v="2025-07-28T00:00:00"/>
    <s v="Customer 053"/>
    <x v="0"/>
    <x v="7"/>
    <s v="P103"/>
    <n v="9"/>
    <n v="12000"/>
    <n v="0.05"/>
    <x v="1"/>
    <x v="1"/>
    <n v="9000"/>
    <n v="102600"/>
    <n v="81000"/>
    <n v="21600"/>
    <x v="5"/>
  </r>
  <r>
    <x v="920"/>
    <d v="2025-07-28T00:00:00"/>
    <s v="Customer 006"/>
    <x v="0"/>
    <x v="7"/>
    <s v="P105"/>
    <n v="12"/>
    <n v="900"/>
    <n v="0.1"/>
    <x v="4"/>
    <x v="0"/>
    <n v="600"/>
    <n v="9720"/>
    <n v="7200"/>
    <n v="2520"/>
    <x v="5"/>
  </r>
  <r>
    <x v="921"/>
    <d v="2025-10-06T00:00:00"/>
    <s v="Customer 057"/>
    <x v="2"/>
    <x v="2"/>
    <s v="P106"/>
    <n v="14"/>
    <n v="500"/>
    <n v="0.1"/>
    <x v="7"/>
    <x v="0"/>
    <n v="320"/>
    <n v="6300"/>
    <n v="4480"/>
    <n v="1820"/>
    <x v="10"/>
  </r>
  <r>
    <x v="922"/>
    <d v="2025-03-08T00:00:00"/>
    <s v="Customer 047"/>
    <x v="0"/>
    <x v="7"/>
    <s v="P106"/>
    <n v="8"/>
    <n v="500"/>
    <n v="0.05"/>
    <x v="7"/>
    <x v="0"/>
    <n v="320"/>
    <n v="3800"/>
    <n v="2560"/>
    <n v="1240"/>
    <x v="7"/>
  </r>
  <r>
    <x v="923"/>
    <d v="2025-12-19T00:00:00"/>
    <s v="Customer 051"/>
    <x v="3"/>
    <x v="6"/>
    <s v="P106"/>
    <n v="14"/>
    <n v="500"/>
    <n v="0"/>
    <x v="7"/>
    <x v="0"/>
    <n v="320"/>
    <n v="7000"/>
    <n v="4480"/>
    <n v="2520"/>
    <x v="11"/>
  </r>
  <r>
    <x v="924"/>
    <d v="2025-02-04T00:00:00"/>
    <s v="Customer 002"/>
    <x v="2"/>
    <x v="2"/>
    <s v="P105"/>
    <n v="4"/>
    <n v="900"/>
    <n v="0"/>
    <x v="4"/>
    <x v="0"/>
    <n v="600"/>
    <n v="3600"/>
    <n v="2400"/>
    <n v="1200"/>
    <x v="2"/>
  </r>
  <r>
    <x v="925"/>
    <d v="2025-06-02T00:00:00"/>
    <s v="Customer 053"/>
    <x v="3"/>
    <x v="6"/>
    <s v="P106"/>
    <n v="10"/>
    <n v="500"/>
    <n v="0.05"/>
    <x v="7"/>
    <x v="0"/>
    <n v="320"/>
    <n v="4750"/>
    <n v="3200"/>
    <n v="1550"/>
    <x v="4"/>
  </r>
  <r>
    <x v="926"/>
    <d v="2025-03-03T00:00:00"/>
    <s v="Customer 041"/>
    <x v="0"/>
    <x v="0"/>
    <s v="P107"/>
    <n v="8"/>
    <n v="2000"/>
    <n v="0"/>
    <x v="2"/>
    <x v="0"/>
    <n v="1300"/>
    <n v="16000"/>
    <n v="10400"/>
    <n v="5600"/>
    <x v="7"/>
  </r>
  <r>
    <x v="927"/>
    <d v="2025-09-12T00:00:00"/>
    <s v="Customer 019"/>
    <x v="2"/>
    <x v="4"/>
    <s v="P103"/>
    <n v="7"/>
    <n v="12000"/>
    <n v="0"/>
    <x v="1"/>
    <x v="1"/>
    <n v="9000"/>
    <n v="84000"/>
    <n v="63000"/>
    <n v="21000"/>
    <x v="1"/>
  </r>
  <r>
    <x v="928"/>
    <d v="2025-12-24T00:00:00"/>
    <s v="Customer 048"/>
    <x v="2"/>
    <x v="2"/>
    <s v="P106"/>
    <n v="12"/>
    <n v="500"/>
    <n v="0.05"/>
    <x v="7"/>
    <x v="0"/>
    <n v="320"/>
    <n v="5700"/>
    <n v="3840"/>
    <n v="1860"/>
    <x v="11"/>
  </r>
  <r>
    <x v="929"/>
    <d v="2025-07-28T00:00:00"/>
    <s v="Customer 059"/>
    <x v="1"/>
    <x v="1"/>
    <s v="P108"/>
    <n v="13"/>
    <n v="1500"/>
    <n v="0"/>
    <x v="0"/>
    <x v="0"/>
    <n v="980"/>
    <n v="19500"/>
    <n v="12740"/>
    <n v="6760"/>
    <x v="5"/>
  </r>
  <r>
    <x v="930"/>
    <d v="2025-07-10T00:00:00"/>
    <s v="Customer 003"/>
    <x v="1"/>
    <x v="1"/>
    <s v="P104"/>
    <n v="15"/>
    <n v="8000"/>
    <n v="0"/>
    <x v="6"/>
    <x v="1"/>
    <n v="6200"/>
    <n v="120000"/>
    <n v="93000"/>
    <n v="27000"/>
    <x v="5"/>
  </r>
  <r>
    <x v="931"/>
    <d v="2025-06-22T00:00:00"/>
    <s v="Customer 028"/>
    <x v="3"/>
    <x v="6"/>
    <s v="P102"/>
    <n v="11"/>
    <n v="18000"/>
    <n v="0"/>
    <x v="3"/>
    <x v="1"/>
    <n v="13500"/>
    <n v="198000"/>
    <n v="148500"/>
    <n v="49500"/>
    <x v="4"/>
  </r>
  <r>
    <x v="932"/>
    <d v="2025-08-15T00:00:00"/>
    <s v="Customer 040"/>
    <x v="1"/>
    <x v="5"/>
    <s v="P102"/>
    <n v="12"/>
    <n v="18000"/>
    <n v="0"/>
    <x v="3"/>
    <x v="1"/>
    <n v="13500"/>
    <n v="216000"/>
    <n v="162000"/>
    <n v="54000"/>
    <x v="0"/>
  </r>
  <r>
    <x v="933"/>
    <d v="2025-04-02T00:00:00"/>
    <s v="Customer 004"/>
    <x v="2"/>
    <x v="2"/>
    <s v="P107"/>
    <n v="5"/>
    <n v="2000"/>
    <n v="0.1"/>
    <x v="2"/>
    <x v="0"/>
    <n v="1300"/>
    <n v="9000"/>
    <n v="6500"/>
    <n v="2500"/>
    <x v="6"/>
  </r>
  <r>
    <x v="934"/>
    <d v="2025-08-22T00:00:00"/>
    <s v="Customer 046"/>
    <x v="3"/>
    <x v="3"/>
    <s v="P106"/>
    <n v="2"/>
    <n v="500"/>
    <n v="0.05"/>
    <x v="7"/>
    <x v="0"/>
    <n v="320"/>
    <n v="950"/>
    <n v="640"/>
    <n v="310"/>
    <x v="0"/>
  </r>
  <r>
    <x v="935"/>
    <d v="2025-09-16T00:00:00"/>
    <s v="Customer 046"/>
    <x v="1"/>
    <x v="5"/>
    <s v="P105"/>
    <n v="9"/>
    <n v="900"/>
    <n v="0"/>
    <x v="4"/>
    <x v="0"/>
    <n v="600"/>
    <n v="8100"/>
    <n v="5400"/>
    <n v="2700"/>
    <x v="1"/>
  </r>
  <r>
    <x v="936"/>
    <d v="2025-12-13T00:00:00"/>
    <s v="Customer 034"/>
    <x v="2"/>
    <x v="2"/>
    <s v="P106"/>
    <n v="12"/>
    <n v="500"/>
    <n v="0.1"/>
    <x v="7"/>
    <x v="0"/>
    <n v="320"/>
    <n v="5400"/>
    <n v="3840"/>
    <n v="1560"/>
    <x v="11"/>
  </r>
  <r>
    <x v="937"/>
    <d v="2025-04-29T00:00:00"/>
    <s v="Customer 040"/>
    <x v="3"/>
    <x v="3"/>
    <s v="P103"/>
    <n v="9"/>
    <n v="12000"/>
    <n v="0.05"/>
    <x v="1"/>
    <x v="1"/>
    <n v="9000"/>
    <n v="102600"/>
    <n v="81000"/>
    <n v="21600"/>
    <x v="6"/>
  </r>
  <r>
    <x v="938"/>
    <d v="2025-11-28T00:00:00"/>
    <s v="Customer 054"/>
    <x v="1"/>
    <x v="1"/>
    <s v="P107"/>
    <n v="9"/>
    <n v="2000"/>
    <n v="0"/>
    <x v="2"/>
    <x v="0"/>
    <n v="1300"/>
    <n v="18000"/>
    <n v="11700"/>
    <n v="6300"/>
    <x v="3"/>
  </r>
  <r>
    <x v="939"/>
    <d v="2025-10-11T00:00:00"/>
    <s v="Customer 059"/>
    <x v="2"/>
    <x v="4"/>
    <s v="P102"/>
    <n v="2"/>
    <n v="18000"/>
    <n v="0"/>
    <x v="3"/>
    <x v="1"/>
    <n v="13500"/>
    <n v="36000"/>
    <n v="27000"/>
    <n v="9000"/>
    <x v="10"/>
  </r>
  <r>
    <x v="940"/>
    <d v="2025-05-31T00:00:00"/>
    <s v="Customer 039"/>
    <x v="3"/>
    <x v="3"/>
    <s v="P107"/>
    <n v="2"/>
    <n v="2000"/>
    <n v="0.05"/>
    <x v="2"/>
    <x v="0"/>
    <n v="1300"/>
    <n v="3800"/>
    <n v="2600"/>
    <n v="1200"/>
    <x v="8"/>
  </r>
  <r>
    <x v="941"/>
    <d v="2025-11-19T00:00:00"/>
    <s v="Customer 015"/>
    <x v="3"/>
    <x v="3"/>
    <s v="P102"/>
    <n v="6"/>
    <n v="18000"/>
    <n v="0"/>
    <x v="3"/>
    <x v="1"/>
    <n v="13500"/>
    <n v="108000"/>
    <n v="81000"/>
    <n v="27000"/>
    <x v="3"/>
  </r>
  <r>
    <x v="942"/>
    <d v="2025-11-19T00:00:00"/>
    <s v="Customer 034"/>
    <x v="3"/>
    <x v="6"/>
    <s v="P101"/>
    <n v="2"/>
    <n v="55000"/>
    <n v="0"/>
    <x v="5"/>
    <x v="1"/>
    <n v="41000"/>
    <n v="110000"/>
    <n v="82000"/>
    <n v="28000"/>
    <x v="3"/>
  </r>
  <r>
    <x v="943"/>
    <d v="2025-03-26T00:00:00"/>
    <s v="Customer 042"/>
    <x v="3"/>
    <x v="6"/>
    <s v="P103"/>
    <n v="15"/>
    <n v="12000"/>
    <n v="0.05"/>
    <x v="1"/>
    <x v="1"/>
    <n v="9000"/>
    <n v="171000"/>
    <n v="135000"/>
    <n v="36000"/>
    <x v="7"/>
  </r>
  <r>
    <x v="944"/>
    <d v="2025-07-01T00:00:00"/>
    <s v="Customer 024"/>
    <x v="2"/>
    <x v="2"/>
    <s v="P105"/>
    <n v="4"/>
    <n v="900"/>
    <n v="0.15"/>
    <x v="4"/>
    <x v="0"/>
    <n v="600"/>
    <n v="3060"/>
    <n v="2400"/>
    <n v="660"/>
    <x v="5"/>
  </r>
  <r>
    <x v="945"/>
    <d v="2025-01-15T00:00:00"/>
    <s v="Customer 018"/>
    <x v="3"/>
    <x v="6"/>
    <s v="P101"/>
    <n v="9"/>
    <n v="55000"/>
    <n v="0.05"/>
    <x v="5"/>
    <x v="1"/>
    <n v="41000"/>
    <n v="470250"/>
    <n v="369000"/>
    <n v="101250"/>
    <x v="9"/>
  </r>
  <r>
    <x v="946"/>
    <d v="2025-09-05T00:00:00"/>
    <s v="Customer 054"/>
    <x v="3"/>
    <x v="3"/>
    <s v="P107"/>
    <n v="5"/>
    <n v="2000"/>
    <n v="0"/>
    <x v="2"/>
    <x v="0"/>
    <n v="1300"/>
    <n v="10000"/>
    <n v="6500"/>
    <n v="3500"/>
    <x v="1"/>
  </r>
  <r>
    <x v="947"/>
    <d v="2025-04-27T00:00:00"/>
    <s v="Customer 057"/>
    <x v="3"/>
    <x v="3"/>
    <s v="P102"/>
    <n v="8"/>
    <n v="18000"/>
    <n v="0"/>
    <x v="3"/>
    <x v="1"/>
    <n v="13500"/>
    <n v="144000"/>
    <n v="108000"/>
    <n v="36000"/>
    <x v="6"/>
  </r>
  <r>
    <x v="948"/>
    <d v="2025-11-03T00:00:00"/>
    <s v="Customer 003"/>
    <x v="2"/>
    <x v="2"/>
    <s v="P107"/>
    <n v="4"/>
    <n v="2000"/>
    <n v="0.1"/>
    <x v="2"/>
    <x v="0"/>
    <n v="1300"/>
    <n v="7200"/>
    <n v="5200"/>
    <n v="2000"/>
    <x v="3"/>
  </r>
  <r>
    <x v="949"/>
    <d v="2025-09-24T00:00:00"/>
    <s v="Customer 003"/>
    <x v="1"/>
    <x v="5"/>
    <s v="P102"/>
    <n v="8"/>
    <n v="18000"/>
    <n v="0"/>
    <x v="3"/>
    <x v="1"/>
    <n v="13500"/>
    <n v="144000"/>
    <n v="108000"/>
    <n v="36000"/>
    <x v="1"/>
  </r>
  <r>
    <x v="950"/>
    <d v="2025-09-01T00:00:00"/>
    <s v="Customer 002"/>
    <x v="1"/>
    <x v="1"/>
    <s v="P104"/>
    <n v="9"/>
    <n v="8000"/>
    <n v="0"/>
    <x v="6"/>
    <x v="1"/>
    <n v="6200"/>
    <n v="72000"/>
    <n v="55800"/>
    <n v="16200"/>
    <x v="1"/>
  </r>
  <r>
    <x v="951"/>
    <d v="2025-01-04T00:00:00"/>
    <s v="Customer 001"/>
    <x v="2"/>
    <x v="2"/>
    <s v="P103"/>
    <n v="9"/>
    <n v="12000"/>
    <n v="0"/>
    <x v="1"/>
    <x v="1"/>
    <n v="9000"/>
    <n v="108000"/>
    <n v="81000"/>
    <n v="27000"/>
    <x v="9"/>
  </r>
  <r>
    <x v="952"/>
    <d v="2025-01-08T00:00:00"/>
    <s v="Customer 050"/>
    <x v="2"/>
    <x v="4"/>
    <s v="P108"/>
    <n v="11"/>
    <n v="1500"/>
    <n v="0.05"/>
    <x v="0"/>
    <x v="0"/>
    <n v="980"/>
    <n v="15675"/>
    <n v="10780"/>
    <n v="4895"/>
    <x v="9"/>
  </r>
  <r>
    <x v="953"/>
    <d v="2025-02-11T00:00:00"/>
    <s v="Customer 051"/>
    <x v="3"/>
    <x v="6"/>
    <s v="P101"/>
    <n v="12"/>
    <n v="55000"/>
    <n v="0.1"/>
    <x v="5"/>
    <x v="1"/>
    <n v="41000"/>
    <n v="594000"/>
    <n v="492000"/>
    <n v="102000"/>
    <x v="2"/>
  </r>
  <r>
    <x v="954"/>
    <d v="2025-08-05T00:00:00"/>
    <s v="Customer 029"/>
    <x v="0"/>
    <x v="7"/>
    <s v="P101"/>
    <n v="1"/>
    <n v="55000"/>
    <n v="0"/>
    <x v="5"/>
    <x v="1"/>
    <n v="41000"/>
    <n v="55000"/>
    <n v="41000"/>
    <n v="14000"/>
    <x v="0"/>
  </r>
  <r>
    <x v="955"/>
    <d v="2025-09-05T00:00:00"/>
    <s v="Customer 049"/>
    <x v="0"/>
    <x v="0"/>
    <s v="P107"/>
    <n v="13"/>
    <n v="2000"/>
    <n v="0"/>
    <x v="2"/>
    <x v="0"/>
    <n v="1300"/>
    <n v="26000"/>
    <n v="16900"/>
    <n v="9100"/>
    <x v="1"/>
  </r>
  <r>
    <x v="956"/>
    <d v="2025-08-15T00:00:00"/>
    <s v="Customer 001"/>
    <x v="1"/>
    <x v="1"/>
    <s v="P107"/>
    <n v="2"/>
    <n v="2000"/>
    <n v="0"/>
    <x v="2"/>
    <x v="0"/>
    <n v="1300"/>
    <n v="4000"/>
    <n v="2600"/>
    <n v="1400"/>
    <x v="0"/>
  </r>
  <r>
    <x v="957"/>
    <d v="2025-06-13T00:00:00"/>
    <s v="Customer 043"/>
    <x v="3"/>
    <x v="6"/>
    <s v="P104"/>
    <n v="4"/>
    <n v="8000"/>
    <n v="0.15"/>
    <x v="6"/>
    <x v="1"/>
    <n v="6200"/>
    <n v="27200"/>
    <n v="24800"/>
    <n v="2400"/>
    <x v="4"/>
  </r>
  <r>
    <x v="958"/>
    <d v="2025-11-29T00:00:00"/>
    <s v="Customer 056"/>
    <x v="1"/>
    <x v="5"/>
    <s v="P102"/>
    <n v="13"/>
    <n v="18000"/>
    <n v="0"/>
    <x v="3"/>
    <x v="1"/>
    <n v="13500"/>
    <n v="234000"/>
    <n v="175500"/>
    <n v="58500"/>
    <x v="3"/>
  </r>
  <r>
    <x v="959"/>
    <d v="2025-10-09T00:00:00"/>
    <s v="Customer 034"/>
    <x v="0"/>
    <x v="7"/>
    <s v="P102"/>
    <n v="14"/>
    <n v="18000"/>
    <n v="0.1"/>
    <x v="3"/>
    <x v="1"/>
    <n v="13500"/>
    <n v="226800"/>
    <n v="189000"/>
    <n v="37800"/>
    <x v="10"/>
  </r>
  <r>
    <x v="960"/>
    <d v="2025-09-24T00:00:00"/>
    <s v="Customer 046"/>
    <x v="1"/>
    <x v="1"/>
    <s v="P106"/>
    <n v="3"/>
    <n v="500"/>
    <n v="0"/>
    <x v="7"/>
    <x v="0"/>
    <n v="320"/>
    <n v="1500"/>
    <n v="960"/>
    <n v="540"/>
    <x v="1"/>
  </r>
  <r>
    <x v="961"/>
    <d v="2025-04-08T00:00:00"/>
    <s v="Customer 010"/>
    <x v="2"/>
    <x v="4"/>
    <s v="P106"/>
    <n v="3"/>
    <n v="500"/>
    <n v="0.15"/>
    <x v="7"/>
    <x v="0"/>
    <n v="320"/>
    <n v="1275"/>
    <n v="960"/>
    <n v="315"/>
    <x v="6"/>
  </r>
  <r>
    <x v="962"/>
    <d v="2025-11-15T00:00:00"/>
    <s v="Customer 032"/>
    <x v="2"/>
    <x v="2"/>
    <s v="P108"/>
    <n v="15"/>
    <n v="1500"/>
    <n v="0"/>
    <x v="0"/>
    <x v="0"/>
    <n v="980"/>
    <n v="22500"/>
    <n v="14700"/>
    <n v="7800"/>
    <x v="3"/>
  </r>
  <r>
    <x v="963"/>
    <d v="2025-03-03T00:00:00"/>
    <s v="Customer 029"/>
    <x v="0"/>
    <x v="7"/>
    <s v="P107"/>
    <n v="15"/>
    <n v="2000"/>
    <n v="0"/>
    <x v="2"/>
    <x v="0"/>
    <n v="1300"/>
    <n v="30000"/>
    <n v="19500"/>
    <n v="10500"/>
    <x v="7"/>
  </r>
  <r>
    <x v="964"/>
    <d v="2025-04-30T00:00:00"/>
    <s v="Customer 003"/>
    <x v="1"/>
    <x v="1"/>
    <s v="P106"/>
    <n v="10"/>
    <n v="500"/>
    <n v="0.1"/>
    <x v="7"/>
    <x v="0"/>
    <n v="320"/>
    <n v="4500"/>
    <n v="3200"/>
    <n v="1300"/>
    <x v="6"/>
  </r>
  <r>
    <x v="965"/>
    <d v="2025-01-10T00:00:00"/>
    <s v="Customer 038"/>
    <x v="3"/>
    <x v="3"/>
    <s v="P101"/>
    <n v="6"/>
    <n v="55000"/>
    <n v="0.05"/>
    <x v="5"/>
    <x v="1"/>
    <n v="41000"/>
    <n v="313500"/>
    <n v="246000"/>
    <n v="67500"/>
    <x v="9"/>
  </r>
  <r>
    <x v="966"/>
    <d v="2025-02-03T00:00:00"/>
    <s v="Customer 003"/>
    <x v="0"/>
    <x v="7"/>
    <s v="P108"/>
    <n v="13"/>
    <n v="1500"/>
    <n v="0"/>
    <x v="0"/>
    <x v="0"/>
    <n v="980"/>
    <n v="19500"/>
    <n v="12740"/>
    <n v="6760"/>
    <x v="2"/>
  </r>
  <r>
    <x v="967"/>
    <d v="2025-03-25T00:00:00"/>
    <s v="Customer 002"/>
    <x v="1"/>
    <x v="5"/>
    <s v="P104"/>
    <n v="1"/>
    <n v="8000"/>
    <n v="0"/>
    <x v="6"/>
    <x v="1"/>
    <n v="6200"/>
    <n v="8000"/>
    <n v="6200"/>
    <n v="1800"/>
    <x v="7"/>
  </r>
  <r>
    <x v="968"/>
    <d v="2025-01-12T00:00:00"/>
    <s v="Customer 040"/>
    <x v="0"/>
    <x v="0"/>
    <s v="P107"/>
    <n v="2"/>
    <n v="2000"/>
    <n v="0.05"/>
    <x v="2"/>
    <x v="0"/>
    <n v="1300"/>
    <n v="3800"/>
    <n v="2600"/>
    <n v="1200"/>
    <x v="9"/>
  </r>
  <r>
    <x v="969"/>
    <d v="2025-04-24T00:00:00"/>
    <s v="Customer 043"/>
    <x v="2"/>
    <x v="2"/>
    <s v="P106"/>
    <n v="7"/>
    <n v="500"/>
    <n v="0.05"/>
    <x v="7"/>
    <x v="0"/>
    <n v="320"/>
    <n v="3325"/>
    <n v="2240"/>
    <n v="1085"/>
    <x v="6"/>
  </r>
  <r>
    <x v="970"/>
    <d v="2025-02-18T00:00:00"/>
    <s v="Customer 017"/>
    <x v="0"/>
    <x v="7"/>
    <s v="P107"/>
    <n v="11"/>
    <n v="2000"/>
    <n v="0.05"/>
    <x v="2"/>
    <x v="0"/>
    <n v="1300"/>
    <n v="20900"/>
    <n v="14300"/>
    <n v="6600"/>
    <x v="2"/>
  </r>
  <r>
    <x v="971"/>
    <d v="2025-12-20T00:00:00"/>
    <s v="Customer 053"/>
    <x v="3"/>
    <x v="6"/>
    <s v="P107"/>
    <n v="9"/>
    <n v="2000"/>
    <n v="0.05"/>
    <x v="2"/>
    <x v="0"/>
    <n v="1300"/>
    <n v="17100"/>
    <n v="11700"/>
    <n v="5400"/>
    <x v="11"/>
  </r>
  <r>
    <x v="972"/>
    <d v="2025-12-15T00:00:00"/>
    <s v="Customer 001"/>
    <x v="0"/>
    <x v="7"/>
    <s v="P104"/>
    <n v="8"/>
    <n v="8000"/>
    <n v="0"/>
    <x v="6"/>
    <x v="1"/>
    <n v="6200"/>
    <n v="64000"/>
    <n v="49600"/>
    <n v="14400"/>
    <x v="11"/>
  </r>
  <r>
    <x v="973"/>
    <d v="2025-04-13T00:00:00"/>
    <s v="Customer 058"/>
    <x v="0"/>
    <x v="7"/>
    <s v="P108"/>
    <n v="8"/>
    <n v="1500"/>
    <n v="0.15"/>
    <x v="0"/>
    <x v="0"/>
    <n v="980"/>
    <n v="10200"/>
    <n v="7840"/>
    <n v="2360"/>
    <x v="6"/>
  </r>
  <r>
    <x v="974"/>
    <d v="2025-03-23T00:00:00"/>
    <s v="Customer 014"/>
    <x v="0"/>
    <x v="7"/>
    <s v="P103"/>
    <n v="14"/>
    <n v="12000"/>
    <n v="0.1"/>
    <x v="1"/>
    <x v="1"/>
    <n v="9000"/>
    <n v="151200"/>
    <n v="126000"/>
    <n v="25200"/>
    <x v="7"/>
  </r>
  <r>
    <x v="975"/>
    <d v="2025-10-05T00:00:00"/>
    <s v="Customer 037"/>
    <x v="2"/>
    <x v="4"/>
    <s v="P106"/>
    <n v="1"/>
    <n v="500"/>
    <n v="0"/>
    <x v="7"/>
    <x v="0"/>
    <n v="320"/>
    <n v="500"/>
    <n v="320"/>
    <n v="180"/>
    <x v="10"/>
  </r>
  <r>
    <x v="976"/>
    <d v="2025-05-14T00:00:00"/>
    <s v="Customer 055"/>
    <x v="0"/>
    <x v="0"/>
    <s v="P105"/>
    <n v="15"/>
    <n v="900"/>
    <n v="0"/>
    <x v="4"/>
    <x v="0"/>
    <n v="600"/>
    <n v="13500"/>
    <n v="9000"/>
    <n v="4500"/>
    <x v="8"/>
  </r>
  <r>
    <x v="977"/>
    <d v="2025-09-15T00:00:00"/>
    <s v="Customer 030"/>
    <x v="3"/>
    <x v="6"/>
    <s v="P103"/>
    <n v="8"/>
    <n v="12000"/>
    <n v="0"/>
    <x v="1"/>
    <x v="1"/>
    <n v="9000"/>
    <n v="96000"/>
    <n v="72000"/>
    <n v="24000"/>
    <x v="1"/>
  </r>
  <r>
    <x v="978"/>
    <d v="2025-09-08T00:00:00"/>
    <s v="Customer 026"/>
    <x v="0"/>
    <x v="7"/>
    <s v="P101"/>
    <n v="8"/>
    <n v="55000"/>
    <n v="0.05"/>
    <x v="5"/>
    <x v="1"/>
    <n v="41000"/>
    <n v="418000"/>
    <n v="328000"/>
    <n v="90000"/>
    <x v="1"/>
  </r>
  <r>
    <x v="979"/>
    <d v="2025-09-30T00:00:00"/>
    <s v="Customer 046"/>
    <x v="1"/>
    <x v="5"/>
    <s v="P103"/>
    <n v="6"/>
    <n v="12000"/>
    <n v="0"/>
    <x v="1"/>
    <x v="1"/>
    <n v="9000"/>
    <n v="72000"/>
    <n v="54000"/>
    <n v="18000"/>
    <x v="1"/>
  </r>
  <r>
    <x v="980"/>
    <d v="2025-09-10T00:00:00"/>
    <s v="Customer 004"/>
    <x v="0"/>
    <x v="0"/>
    <s v="P105"/>
    <n v="10"/>
    <n v="900"/>
    <n v="0"/>
    <x v="4"/>
    <x v="0"/>
    <n v="600"/>
    <n v="9000"/>
    <n v="6000"/>
    <n v="3000"/>
    <x v="1"/>
  </r>
  <r>
    <x v="981"/>
    <d v="2025-09-11T00:00:00"/>
    <s v="Customer 049"/>
    <x v="3"/>
    <x v="3"/>
    <s v="P103"/>
    <n v="8"/>
    <n v="12000"/>
    <n v="0.15"/>
    <x v="1"/>
    <x v="1"/>
    <n v="9000"/>
    <n v="81600"/>
    <n v="72000"/>
    <n v="9600"/>
    <x v="1"/>
  </r>
  <r>
    <x v="982"/>
    <d v="2025-09-17T00:00:00"/>
    <s v="Customer 030"/>
    <x v="2"/>
    <x v="2"/>
    <s v="P102"/>
    <n v="10"/>
    <n v="18000"/>
    <n v="0.15"/>
    <x v="3"/>
    <x v="1"/>
    <n v="13500"/>
    <n v="153000"/>
    <n v="135000"/>
    <n v="18000"/>
    <x v="1"/>
  </r>
  <r>
    <x v="983"/>
    <d v="2025-12-28T00:00:00"/>
    <s v="Customer 017"/>
    <x v="0"/>
    <x v="0"/>
    <s v="P107"/>
    <n v="10"/>
    <n v="2000"/>
    <n v="0"/>
    <x v="2"/>
    <x v="0"/>
    <n v="1300"/>
    <n v="20000"/>
    <n v="13000"/>
    <n v="7000"/>
    <x v="11"/>
  </r>
  <r>
    <x v="984"/>
    <d v="2025-09-30T00:00:00"/>
    <s v="Customer 021"/>
    <x v="1"/>
    <x v="1"/>
    <s v="P105"/>
    <n v="8"/>
    <n v="900"/>
    <n v="0.05"/>
    <x v="4"/>
    <x v="0"/>
    <n v="600"/>
    <n v="6840"/>
    <n v="4800"/>
    <n v="2040"/>
    <x v="1"/>
  </r>
  <r>
    <x v="985"/>
    <d v="2025-11-28T00:00:00"/>
    <s v="Customer 036"/>
    <x v="0"/>
    <x v="7"/>
    <s v="P108"/>
    <n v="1"/>
    <n v="1500"/>
    <n v="0"/>
    <x v="0"/>
    <x v="0"/>
    <n v="980"/>
    <n v="1500"/>
    <n v="980"/>
    <n v="520"/>
    <x v="3"/>
  </r>
  <r>
    <x v="986"/>
    <d v="2025-12-06T00:00:00"/>
    <s v="Customer 035"/>
    <x v="2"/>
    <x v="2"/>
    <s v="P106"/>
    <n v="2"/>
    <n v="500"/>
    <n v="0.05"/>
    <x v="7"/>
    <x v="0"/>
    <n v="320"/>
    <n v="950"/>
    <n v="640"/>
    <n v="310"/>
    <x v="11"/>
  </r>
  <r>
    <x v="987"/>
    <d v="2025-11-10T00:00:00"/>
    <s v="Customer 005"/>
    <x v="0"/>
    <x v="7"/>
    <s v="P105"/>
    <n v="15"/>
    <n v="900"/>
    <n v="0"/>
    <x v="4"/>
    <x v="0"/>
    <n v="600"/>
    <n v="13500"/>
    <n v="9000"/>
    <n v="45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020E6A-DE3B-42A6-B120-440A164E21F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Month">
  <location ref="K3:L16" firstHeaderRow="1" firstDataRow="1" firstDataCol="1"/>
  <pivotFields count="17">
    <pivotField showAll="0"/>
    <pivotField numFmtId="164" showAll="0"/>
    <pivotField showAll="0"/>
    <pivotField showAll="0">
      <items count="5">
        <item x="3"/>
        <item x="1"/>
        <item x="2"/>
        <item x="0"/>
        <item t="default"/>
      </items>
    </pivotField>
    <pivotField showAll="0"/>
    <pivotField showAll="0"/>
    <pivotField showAll="0"/>
    <pivotField showAll="0"/>
    <pivotField showAll="0"/>
    <pivotField showAll="0"/>
    <pivotField showAll="0">
      <items count="4">
        <item x="0"/>
        <item x="1"/>
        <item h="1" x="2"/>
        <item t="default"/>
      </items>
    </pivotField>
    <pivotField showAll="0"/>
    <pivotField dataField="1" showAll="0"/>
    <pivotField showAll="0"/>
    <pivotField showAll="0"/>
    <pivotField axis="axisRow" showAll="0">
      <items count="13">
        <item x="9"/>
        <item x="2"/>
        <item x="7"/>
        <item x="6"/>
        <item x="8"/>
        <item x="4"/>
        <item x="5"/>
        <item x="0"/>
        <item x="1"/>
        <item x="10"/>
        <item x="3"/>
        <item x="11"/>
        <item t="default"/>
      </items>
    </pivotField>
    <pivotField dragToRow="0" dragToCol="0" dragToPage="0" showAll="0" defaultSubtotal="0"/>
  </pivotFields>
  <rowFields count="1">
    <field x="15"/>
  </rowFields>
  <rowItems count="13">
    <i>
      <x/>
    </i>
    <i>
      <x v="1"/>
    </i>
    <i>
      <x v="2"/>
    </i>
    <i>
      <x v="3"/>
    </i>
    <i>
      <x v="4"/>
    </i>
    <i>
      <x v="5"/>
    </i>
    <i>
      <x v="6"/>
    </i>
    <i>
      <x v="7"/>
    </i>
    <i>
      <x v="8"/>
    </i>
    <i>
      <x v="9"/>
    </i>
    <i>
      <x v="10"/>
    </i>
    <i>
      <x v="11"/>
    </i>
    <i t="grand">
      <x/>
    </i>
  </rowItems>
  <colItems count="1">
    <i/>
  </colItems>
  <dataFields count="1">
    <dataField name="Revenue " fld="12" baseField="0" baseItem="0"/>
  </dataFields>
  <chartFormats count="14">
    <chartFormat chart="4"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5" count="1" selected="0">
            <x v="4"/>
          </reference>
        </references>
      </pivotArea>
    </chartFormat>
    <chartFormat chart="11" format="5">
      <pivotArea type="data" outline="0" fieldPosition="0">
        <references count="2">
          <reference field="4294967294" count="1" selected="0">
            <x v="0"/>
          </reference>
          <reference field="15" count="1" selected="0">
            <x v="0"/>
          </reference>
        </references>
      </pivotArea>
    </chartFormat>
    <chartFormat chart="11" format="6">
      <pivotArea type="data" outline="0" fieldPosition="0">
        <references count="2">
          <reference field="4294967294" count="1" selected="0">
            <x v="0"/>
          </reference>
          <reference field="15" count="1" selected="0">
            <x v="11"/>
          </reference>
        </references>
      </pivotArea>
    </chartFormat>
    <chartFormat chart="11" format="7">
      <pivotArea type="data" outline="0" fieldPosition="0">
        <references count="2">
          <reference field="4294967294" count="1" selected="0">
            <x v="0"/>
          </reference>
          <reference field="15" count="1" selected="0">
            <x v="10"/>
          </reference>
        </references>
      </pivotArea>
    </chartFormat>
    <chartFormat chart="11" format="8">
      <pivotArea type="data" outline="0" fieldPosition="0">
        <references count="2">
          <reference field="4294967294" count="1" selected="0">
            <x v="0"/>
          </reference>
          <reference field="15" count="1" selected="0">
            <x v="9"/>
          </reference>
        </references>
      </pivotArea>
    </chartFormat>
    <chartFormat chart="11" format="9">
      <pivotArea type="data" outline="0" fieldPosition="0">
        <references count="2">
          <reference field="4294967294" count="1" selected="0">
            <x v="0"/>
          </reference>
          <reference field="15" count="1" selected="0">
            <x v="8"/>
          </reference>
        </references>
      </pivotArea>
    </chartFormat>
    <chartFormat chart="11" format="10">
      <pivotArea type="data" outline="0" fieldPosition="0">
        <references count="2">
          <reference field="4294967294" count="1" selected="0">
            <x v="0"/>
          </reference>
          <reference field="15" count="1" selected="0">
            <x v="6"/>
          </reference>
        </references>
      </pivotArea>
    </chartFormat>
    <chartFormat chart="11" format="11">
      <pivotArea type="data" outline="0" fieldPosition="0">
        <references count="2">
          <reference field="4294967294" count="1" selected="0">
            <x v="0"/>
          </reference>
          <reference field="15" count="1" selected="0">
            <x v="5"/>
          </reference>
        </references>
      </pivotArea>
    </chartFormat>
    <chartFormat chart="11" format="12">
      <pivotArea type="data" outline="0" fieldPosition="0">
        <references count="2">
          <reference field="4294967294" count="1" selected="0">
            <x v="0"/>
          </reference>
          <reference field="15" count="1" selected="0">
            <x v="3"/>
          </reference>
        </references>
      </pivotArea>
    </chartFormat>
    <chartFormat chart="11" format="13">
      <pivotArea type="data" outline="0" fieldPosition="0">
        <references count="2">
          <reference field="4294967294" count="1" selected="0">
            <x v="0"/>
          </reference>
          <reference field="15" count="1" selected="0">
            <x v="2"/>
          </reference>
        </references>
      </pivotArea>
    </chartFormat>
    <chartFormat chart="11" format="14">
      <pivotArea type="data" outline="0" fieldPosition="0">
        <references count="2">
          <reference field="4294967294" count="1" selected="0">
            <x v="0"/>
          </reference>
          <reference field="15" count="1" selected="0">
            <x v="1"/>
          </reference>
        </references>
      </pivotArea>
    </chartFormat>
    <chartFormat chart="11" format="15">
      <pivotArea type="data" outline="0" fieldPosition="0">
        <references count="2">
          <reference field="4294967294" count="1" selected="0">
            <x v="0"/>
          </reference>
          <reference field="1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7FB199-EC1D-4350-9183-8A1B26FFCD3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amp; ProductName">
  <location ref="F3:H14" firstHeaderRow="0" firstDataRow="1" firstDataCol="1"/>
  <pivotFields count="17">
    <pivotField showAll="0"/>
    <pivotField numFmtId="164" showAll="0"/>
    <pivotField showAll="0"/>
    <pivotField showAll="0">
      <items count="5">
        <item x="3"/>
        <item x="1"/>
        <item x="2"/>
        <item x="0"/>
        <item t="default"/>
      </items>
    </pivotField>
    <pivotField showAll="0"/>
    <pivotField showAll="0"/>
    <pivotField showAll="0"/>
    <pivotField showAll="0"/>
    <pivotField showAll="0"/>
    <pivotField axis="axisRow" showAll="0" sortType="descending">
      <items count="10">
        <item x="2"/>
        <item x="4"/>
        <item x="5"/>
        <item x="1"/>
        <item x="7"/>
        <item x="6"/>
        <item x="3"/>
        <item x="8"/>
        <item x="0"/>
        <item t="default"/>
      </items>
      <autoSortScope>
        <pivotArea dataOnly="0" outline="0" fieldPosition="0">
          <references count="1">
            <reference field="4294967294" count="1" selected="0">
              <x v="0"/>
            </reference>
          </references>
        </pivotArea>
      </autoSortScope>
    </pivotField>
    <pivotField axis="axisRow" showAll="0">
      <items count="4">
        <item x="0"/>
        <item x="1"/>
        <item h="1" x="2"/>
        <item t="default"/>
      </items>
    </pivotField>
    <pivotField showAll="0"/>
    <pivotField dataField="1" showAll="0"/>
    <pivotField showAll="0"/>
    <pivotField dataField="1" showAll="0"/>
    <pivotField showAll="0"/>
    <pivotField dragToRow="0" dragToCol="0" dragToPage="0" showAll="0" defaultSubtotal="0"/>
  </pivotFields>
  <rowFields count="2">
    <field x="10"/>
    <field x="9"/>
  </rowFields>
  <rowItems count="11">
    <i>
      <x/>
    </i>
    <i r="1">
      <x/>
    </i>
    <i r="1">
      <x v="8"/>
    </i>
    <i r="1">
      <x v="1"/>
    </i>
    <i r="1">
      <x v="4"/>
    </i>
    <i>
      <x v="1"/>
    </i>
    <i r="1">
      <x v="2"/>
    </i>
    <i r="1">
      <x v="6"/>
    </i>
    <i r="1">
      <x v="3"/>
    </i>
    <i r="1">
      <x v="5"/>
    </i>
    <i t="grand">
      <x/>
    </i>
  </rowItems>
  <colFields count="1">
    <field x="-2"/>
  </colFields>
  <colItems count="2">
    <i>
      <x/>
    </i>
    <i i="1">
      <x v="1"/>
    </i>
  </colItems>
  <dataFields count="2">
    <dataField name="Revenue " fld="12" baseField="0" baseItem="0"/>
    <dataField name="Profit "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B1D973-D9E5-4615-90A8-43AD8A542A9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9:D20" firstHeaderRow="0" firstDataRow="1" firstDataCol="0"/>
  <pivotFields count="17">
    <pivotField dataField="1" showAll="0">
      <items count="9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t="default"/>
      </items>
    </pivotField>
    <pivotField numFmtId="164" showAll="0"/>
    <pivotField showAll="0"/>
    <pivotField showAll="0">
      <items count="5">
        <item x="3"/>
        <item x="1"/>
        <item x="2"/>
        <item x="0"/>
        <item t="default"/>
      </items>
    </pivotField>
    <pivotField showAll="0"/>
    <pivotField showAll="0"/>
    <pivotField showAll="0"/>
    <pivotField showAll="0"/>
    <pivotField showAll="0"/>
    <pivotField showAll="0"/>
    <pivotField showAll="0">
      <items count="4">
        <item x="0"/>
        <item x="1"/>
        <item h="1" x="2"/>
        <item t="default"/>
      </items>
    </pivotField>
    <pivotField showAll="0"/>
    <pivotField dataField="1" showAll="0"/>
    <pivotField showAll="0"/>
    <pivotField dataField="1" showAll="0"/>
    <pivotField showAll="0"/>
    <pivotField dragToRow="0" dragToCol="0" dragToPage="0" showAll="0" defaultSubtotal="0"/>
  </pivotFields>
  <rowItems count="1">
    <i/>
  </rowItems>
  <colFields count="1">
    <field x="-2"/>
  </colFields>
  <colItems count="3">
    <i>
      <x/>
    </i>
    <i i="1">
      <x v="1"/>
    </i>
    <i i="2">
      <x v="2"/>
    </i>
  </colItems>
  <dataFields count="3">
    <dataField name="Sum of Revenue" fld="12" baseField="0" baseItem="0"/>
    <dataField name="Sum of Profit" fld="14" baseField="0" baseItem="0"/>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103728-DDDF-441B-BFBB-D3DD24A3F4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gion ">
  <location ref="A3:C8" firstHeaderRow="0" firstDataRow="1" firstDataCol="1"/>
  <pivotFields count="17">
    <pivotField showAll="0"/>
    <pivotField numFmtId="164" showAll="0"/>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0"/>
        <item x="1"/>
        <item h="1" x="2"/>
        <item t="default"/>
      </items>
    </pivotField>
    <pivotField showAll="0"/>
    <pivotField dataField="1" showAll="0"/>
    <pivotField showAll="0"/>
    <pivotField dataField="1" showAll="0"/>
    <pivotField showAll="0"/>
    <pivotField dragToRow="0" dragToCol="0" dragToPage="0" showAll="0" defaultSubtotal="0"/>
  </pivotFields>
  <rowFields count="1">
    <field x="3"/>
  </rowFields>
  <rowItems count="5">
    <i>
      <x/>
    </i>
    <i>
      <x v="3"/>
    </i>
    <i>
      <x v="2"/>
    </i>
    <i>
      <x v="1"/>
    </i>
    <i t="grand">
      <x/>
    </i>
  </rowItems>
  <colFields count="1">
    <field x="-2"/>
  </colFields>
  <colItems count="2">
    <i>
      <x/>
    </i>
    <i i="1">
      <x v="1"/>
    </i>
  </colItems>
  <dataFields count="2">
    <dataField name="Revenue " fld="12" baseField="0" baseItem="0" numFmtId="3"/>
    <dataField name=" Profit " fld="14" baseField="0" baseItem="0" numFmtId="3"/>
  </dataField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C73D5F-D809-4623-AF3C-ACCA1D21BEC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SalesRep ">
  <location ref="O3:P12" firstHeaderRow="1" firstDataRow="1" firstDataCol="1"/>
  <pivotFields count="17">
    <pivotField showAll="0"/>
    <pivotField numFmtId="164" showAll="0"/>
    <pivotField showAll="0"/>
    <pivotField showAll="0">
      <items count="5">
        <item x="3"/>
        <item x="1"/>
        <item x="2"/>
        <item x="0"/>
        <item t="default"/>
      </items>
    </pivotField>
    <pivotField axis="axisRow" showAll="0" sortType="descending">
      <items count="9">
        <item x="0"/>
        <item x="5"/>
        <item x="6"/>
        <item x="7"/>
        <item x="3"/>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0"/>
        <item x="1"/>
        <item h="1" x="2"/>
        <item t="default"/>
      </items>
    </pivotField>
    <pivotField showAll="0"/>
    <pivotField dataField="1" showAll="0"/>
    <pivotField showAll="0"/>
    <pivotField showAll="0"/>
    <pivotField showAll="0"/>
    <pivotField dragToRow="0" dragToCol="0" dragToPage="0" showAll="0" defaultSubtotal="0"/>
  </pivotFields>
  <rowFields count="1">
    <field x="4"/>
  </rowFields>
  <rowItems count="9">
    <i>
      <x v="4"/>
    </i>
    <i>
      <x v="3"/>
    </i>
    <i>
      <x v="2"/>
    </i>
    <i>
      <x v="7"/>
    </i>
    <i>
      <x v="1"/>
    </i>
    <i>
      <x v="6"/>
    </i>
    <i>
      <x/>
    </i>
    <i>
      <x v="5"/>
    </i>
    <i t="grand">
      <x/>
    </i>
  </rowItems>
  <colItems count="1">
    <i/>
  </colItems>
  <dataFields count="1">
    <dataField name=" Revenue " fld="12" baseField="0" baseItem="0"/>
  </dataFields>
  <chartFormats count="3">
    <chartFormat chart="14"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66F6C3-4538-4A7F-864B-45AF39A90AE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ategory">
  <location ref="T3:V6" firstHeaderRow="0" firstDataRow="1" firstDataCol="1"/>
  <pivotFields count="17">
    <pivotField showAll="0"/>
    <pivotField numFmtId="164" showAll="0"/>
    <pivotField showAll="0"/>
    <pivotField showAll="0">
      <items count="5">
        <item x="3"/>
        <item x="1"/>
        <item x="2"/>
        <item x="0"/>
        <item t="default"/>
      </items>
    </pivotField>
    <pivotField showAll="0"/>
    <pivotField showAll="0"/>
    <pivotField showAll="0"/>
    <pivotField showAll="0"/>
    <pivotField showAll="0"/>
    <pivotField showAll="0"/>
    <pivotField axis="axisRow" showAll="0">
      <items count="4">
        <item x="0"/>
        <item x="1"/>
        <item h="1" x="2"/>
        <item t="default"/>
      </items>
    </pivotField>
    <pivotField showAll="0"/>
    <pivotField dataField="1" showAll="0"/>
    <pivotField showAll="0"/>
    <pivotField showAll="0"/>
    <pivotField showAll="0"/>
    <pivotField dataField="1" dragToRow="0" dragToCol="0" dragToPage="0" showAll="0" defaultSubtotal="0"/>
  </pivotFields>
  <rowFields count="1">
    <field x="10"/>
  </rowFields>
  <rowItems count="3">
    <i>
      <x/>
    </i>
    <i>
      <x v="1"/>
    </i>
    <i t="grand">
      <x/>
    </i>
  </rowItems>
  <colFields count="1">
    <field x="-2"/>
  </colFields>
  <colItems count="2">
    <i>
      <x/>
    </i>
    <i i="1">
      <x v="1"/>
    </i>
  </colItems>
  <dataFields count="2">
    <dataField name="Revenue " fld="12" baseField="0" baseItem="0"/>
    <dataField name="ProfitMargin " fld="16" baseField="0" baseItem="0" numFmtId="166"/>
  </dataFields>
  <chartFormats count="6">
    <chartFormat chart="4" format="6"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 chart="11" format="11"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1"/>
          </reference>
        </references>
      </pivotArea>
    </chartFormat>
    <chartFormat chart="11" format="13">
      <pivotArea type="data" outline="0" fieldPosition="0">
        <references count="2">
          <reference field="4294967294" count="1" selected="0">
            <x v="1"/>
          </reference>
          <reference field="10" count="1" selected="0">
            <x v="2"/>
          </reference>
        </references>
      </pivotArea>
    </chartFormat>
    <chartFormat chart="11" format="14">
      <pivotArea type="data" outline="0" fieldPosition="0">
        <references count="2">
          <reference field="4294967294" count="1" selected="0">
            <x v="1"/>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D99DF41-E486-46B2-B5EC-13AAB7F4EC4F}" sourceName="Category">
  <pivotTables>
    <pivotTable tabId="5" name="PivotTable1"/>
    <pivotTable tabId="5" name="PivotTable2"/>
    <pivotTable tabId="5" name="PivotTable3"/>
    <pivotTable tabId="5" name="PivotTable4"/>
    <pivotTable tabId="5" name="PivotTable5"/>
    <pivotTable tabId="5" name="PivotTable6"/>
  </pivotTables>
  <data>
    <tabular pivotCacheId="657610277">
      <items count="3">
        <i x="0" s="1"/>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17B322F-F5C6-4885-BDD7-38F7B22BA8D4}" sourceName="Region">
  <pivotTables>
    <pivotTable tabId="5" name="PivotTable1"/>
    <pivotTable tabId="5" name="PivotTable2"/>
    <pivotTable tabId="5" name="PivotTable3"/>
    <pivotTable tabId="5" name="PivotTable4"/>
    <pivotTable tabId="5" name="PivotTable5"/>
    <pivotTable tabId="5" name="PivotTable6"/>
  </pivotTables>
  <data>
    <tabular pivotCacheId="657610277">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5D21C60-8AF5-408F-812E-97485ABC1469}" cache="Slicer_Category" caption="Category" style="SlicerStyleLight5" rowHeight="241300"/>
  <slicer name="Region" xr10:uid="{0ED382D1-C866-4FA7-B4CA-CA4FF759B9AF}" cache="Slicer_Region" caption="Region"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2545D2-64AF-40B3-B375-993061690027}" name="tblOrders" displayName="tblOrders" ref="A1:P990" totalsRowCount="1" headerRowDxfId="12">
  <autoFilter ref="A1:P989" xr:uid="{CA2545D2-64AF-40B3-B375-993061690027}"/>
  <tableColumns count="16">
    <tableColumn id="1" xr3:uid="{2838A3C0-2FB8-4DF6-BC8A-B1BE06889E68}" name="OrderID" totalsRowLabel="Total"/>
    <tableColumn id="2" xr3:uid="{C3417D61-691A-4BD7-A910-C3F4CA7DF775}" name="OrderDate" dataDxfId="11"/>
    <tableColumn id="3" xr3:uid="{085C1544-0B34-4B7C-9F43-16C87407012D}" name="Customer"/>
    <tableColumn id="4" xr3:uid="{58F169FD-BDD2-4AD0-B90E-6F57ED5D4636}" name="Region"/>
    <tableColumn id="5" xr3:uid="{81B64CD0-C8ED-48BB-9BAF-F59C0B1320B1}" name="SalesRep"/>
    <tableColumn id="6" xr3:uid="{754A604F-8A14-4B4F-A886-3C3D62AA84B1}" name="ProductID"/>
    <tableColumn id="7" xr3:uid="{F5A80BD8-9A74-4A66-BD9C-A10948C3CB7A}" name="Quantity"/>
    <tableColumn id="8" xr3:uid="{063C438E-391E-47B8-851B-B1A1CE654ACE}" name="UnitPrice"/>
    <tableColumn id="9" xr3:uid="{9116D856-BA87-47FD-BDCB-4B1B6E80B325}" name="Discount"/>
    <tableColumn id="11" xr3:uid="{7A086083-FDA1-42B7-9670-B2E508BD1AAE}" name="ProductName" dataDxfId="10">
      <calculatedColumnFormula>_xlfn.XLOOKUP(tblOrders[[#This Row],[ProductID]],Products!$A$2:$A$9,Products!$B$2:$B$9,"Unknown")</calculatedColumnFormula>
    </tableColumn>
    <tableColumn id="12" xr3:uid="{F023B317-D7D1-4387-AE17-3DC4A10F14B5}" name="Category" dataDxfId="9">
      <calculatedColumnFormula>_xlfn.XLOOKUP(tblOrders[[#This Row],[ProductID]],Products!$A$2:$A$9,Products!$C$2:$C$9,"Unknown")</calculatedColumnFormula>
    </tableColumn>
    <tableColumn id="13" xr3:uid="{C77D9769-02BC-4A72-A06C-6F8A166049DE}" name="UnitCost" dataDxfId="8">
      <calculatedColumnFormula>_xlfn.XLOOKUP(tblOrders[[#This Row],[ProductID]],Products!$A$2:$A$9,Products!$D$2:$D$9,0)</calculatedColumnFormula>
    </tableColumn>
    <tableColumn id="14" xr3:uid="{E773AA79-5B85-4188-952A-24F64548FAF6}" name="Revenue" totalsRowFunction="sum" dataDxfId="7">
      <calculatedColumnFormula>tblOrders[[#This Row],[Quantity]]*tblOrders[[#This Row],[UnitPrice]]*(1-tblOrders[[#This Row],[Discount]])</calculatedColumnFormula>
    </tableColumn>
    <tableColumn id="15" xr3:uid="{139AF840-5E97-417C-8C9A-B785E397ECEA}" name="Cost" totalsRowFunction="sum" dataDxfId="6">
      <calculatedColumnFormula>tblOrders[[#This Row],[Quantity]]*tblOrders[[#This Row],[UnitCost]]</calculatedColumnFormula>
    </tableColumn>
    <tableColumn id="16" xr3:uid="{A17DF925-A2E0-48F8-BB6B-E6ECB96F97BE}" name="Profit" totalsRowFunction="sum" dataDxfId="5">
      <calculatedColumnFormula>tblOrders[[#This Row],[Revenue]]-tblOrders[[#This Row],[Cost]]</calculatedColumnFormula>
    </tableColumn>
    <tableColumn id="17" xr3:uid="{9A964D74-DCF8-481B-8D91-51B1B9ABEFC9}" name="Month" dataDxfId="4">
      <calculatedColumnFormula>TEXT(tblOrders[[#This Row],[OrderDate]],"mmm")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88032-BA74-4FBF-8D68-E07DC8096458}">
  <dimension ref="A3:V20"/>
  <sheetViews>
    <sheetView topLeftCell="A4" workbookViewId="0">
      <selection activeCell="T20" sqref="T20"/>
    </sheetView>
  </sheetViews>
  <sheetFormatPr defaultRowHeight="15" x14ac:dyDescent="0.25"/>
  <cols>
    <col min="1" max="1" width="11.28515625" bestFit="1" customWidth="1"/>
    <col min="2" max="2" width="15.5703125" bestFit="1" customWidth="1"/>
    <col min="3" max="3" width="12.5703125" bestFit="1" customWidth="1"/>
    <col min="4" max="4" width="16.140625" bestFit="1" customWidth="1"/>
    <col min="6" max="6" width="26.140625" bestFit="1" customWidth="1"/>
    <col min="7" max="7" width="9.28515625" bestFit="1" customWidth="1"/>
    <col min="8" max="8" width="9" bestFit="1" customWidth="1"/>
    <col min="11" max="11" width="11.28515625" bestFit="1" customWidth="1"/>
    <col min="12" max="12" width="9.28515625" bestFit="1" customWidth="1"/>
    <col min="15" max="15" width="13.140625" bestFit="1" customWidth="1"/>
    <col min="16" max="16" width="9.7109375" bestFit="1" customWidth="1"/>
    <col min="17" max="17" width="14.140625" bestFit="1" customWidth="1"/>
    <col min="20" max="20" width="11.28515625" bestFit="1" customWidth="1"/>
    <col min="21" max="21" width="9.28515625" bestFit="1" customWidth="1"/>
    <col min="22" max="23" width="12.7109375" bestFit="1" customWidth="1"/>
  </cols>
  <sheetData>
    <row r="3" spans="1:22" x14ac:dyDescent="0.25">
      <c r="A3" s="8" t="s">
        <v>1120</v>
      </c>
      <c r="B3" t="s">
        <v>1119</v>
      </c>
      <c r="C3" t="s">
        <v>1118</v>
      </c>
      <c r="F3" s="8" t="s">
        <v>1137</v>
      </c>
      <c r="G3" t="s">
        <v>1119</v>
      </c>
      <c r="H3" t="s">
        <v>1133</v>
      </c>
      <c r="K3" s="8" t="s">
        <v>1091</v>
      </c>
      <c r="L3" t="s">
        <v>1119</v>
      </c>
      <c r="O3" s="8" t="s">
        <v>1135</v>
      </c>
      <c r="P3" t="s">
        <v>1134</v>
      </c>
      <c r="T3" s="8" t="s">
        <v>1079</v>
      </c>
      <c r="U3" t="s">
        <v>1119</v>
      </c>
      <c r="V3" t="s">
        <v>1136</v>
      </c>
    </row>
    <row r="4" spans="1:22" x14ac:dyDescent="0.25">
      <c r="A4" s="9" t="s">
        <v>16</v>
      </c>
      <c r="B4" s="10">
        <v>28375270</v>
      </c>
      <c r="C4" s="10">
        <v>6115270</v>
      </c>
      <c r="F4" s="9" t="s">
        <v>1087</v>
      </c>
      <c r="G4" s="21">
        <v>4668515</v>
      </c>
      <c r="H4" s="21">
        <v>1450755</v>
      </c>
      <c r="K4" s="9" t="s">
        <v>1121</v>
      </c>
      <c r="L4" s="21">
        <v>9674475</v>
      </c>
      <c r="O4" s="9" t="s">
        <v>33</v>
      </c>
      <c r="P4" s="21">
        <v>15612530</v>
      </c>
      <c r="T4" s="9" t="s">
        <v>1087</v>
      </c>
      <c r="U4" s="21">
        <v>4668515</v>
      </c>
      <c r="V4" s="12">
        <v>0.31075299104747439</v>
      </c>
    </row>
    <row r="5" spans="1:22" x14ac:dyDescent="0.25">
      <c r="A5" s="9" t="s">
        <v>39</v>
      </c>
      <c r="B5" s="10">
        <v>23442750</v>
      </c>
      <c r="C5" s="10">
        <v>5172790</v>
      </c>
      <c r="F5" s="11" t="s">
        <v>1089</v>
      </c>
      <c r="G5" s="21">
        <v>1909800</v>
      </c>
      <c r="H5" s="21">
        <v>607200</v>
      </c>
      <c r="K5" s="9" t="s">
        <v>1122</v>
      </c>
      <c r="L5" s="21">
        <v>8877955</v>
      </c>
      <c r="O5" s="9" t="s">
        <v>76</v>
      </c>
      <c r="P5" s="21">
        <v>13848810</v>
      </c>
      <c r="T5" s="9" t="s">
        <v>1082</v>
      </c>
      <c r="U5" s="21">
        <v>87062300</v>
      </c>
      <c r="V5" s="12">
        <v>0.21564213212837244</v>
      </c>
    </row>
    <row r="6" spans="1:22" x14ac:dyDescent="0.25">
      <c r="A6" s="9" t="s">
        <v>11</v>
      </c>
      <c r="B6" s="10">
        <v>21546420</v>
      </c>
      <c r="C6" s="10">
        <v>4814700</v>
      </c>
      <c r="F6" s="11" t="s">
        <v>1090</v>
      </c>
      <c r="G6" s="21">
        <v>1336800</v>
      </c>
      <c r="H6" s="21">
        <v>411680</v>
      </c>
      <c r="K6" s="9" t="s">
        <v>1123</v>
      </c>
      <c r="L6" s="21">
        <v>6546505</v>
      </c>
      <c r="O6" s="9" t="s">
        <v>17</v>
      </c>
      <c r="P6" s="21">
        <v>12762740</v>
      </c>
      <c r="T6" s="9" t="s">
        <v>1117</v>
      </c>
      <c r="U6" s="21">
        <v>91730815</v>
      </c>
      <c r="V6" s="12">
        <v>0.22048266986399281</v>
      </c>
    </row>
    <row r="7" spans="1:22" x14ac:dyDescent="0.25">
      <c r="A7" s="9" t="s">
        <v>21</v>
      </c>
      <c r="B7" s="10">
        <v>18366375</v>
      </c>
      <c r="C7" s="10">
        <v>4122295</v>
      </c>
      <c r="F7" s="11" t="s">
        <v>1086</v>
      </c>
      <c r="G7" s="21">
        <v>987390</v>
      </c>
      <c r="H7" s="21">
        <v>295590</v>
      </c>
      <c r="K7" s="9" t="s">
        <v>1124</v>
      </c>
      <c r="L7" s="21">
        <v>5914695</v>
      </c>
      <c r="O7" s="9" t="s">
        <v>12</v>
      </c>
      <c r="P7" s="21">
        <v>11273110</v>
      </c>
    </row>
    <row r="8" spans="1:22" x14ac:dyDescent="0.25">
      <c r="A8" s="9" t="s">
        <v>1117</v>
      </c>
      <c r="B8" s="10">
        <v>91730815</v>
      </c>
      <c r="C8" s="10">
        <v>20225055</v>
      </c>
      <c r="F8" s="11" t="s">
        <v>1088</v>
      </c>
      <c r="G8" s="21">
        <v>434525</v>
      </c>
      <c r="H8" s="21">
        <v>136285</v>
      </c>
      <c r="K8" s="9" t="s">
        <v>1125</v>
      </c>
      <c r="L8" s="21">
        <v>8721095</v>
      </c>
      <c r="O8" s="9" t="s">
        <v>28</v>
      </c>
      <c r="P8" s="21">
        <v>10724775</v>
      </c>
    </row>
    <row r="9" spans="1:22" x14ac:dyDescent="0.25">
      <c r="F9" s="9" t="s">
        <v>1082</v>
      </c>
      <c r="G9" s="21">
        <v>87062300</v>
      </c>
      <c r="H9" s="21">
        <v>18774300</v>
      </c>
      <c r="K9" s="9" t="s">
        <v>1126</v>
      </c>
      <c r="L9" s="21">
        <v>8311075</v>
      </c>
      <c r="O9" s="9" t="s">
        <v>46</v>
      </c>
      <c r="P9" s="21">
        <v>10273310</v>
      </c>
    </row>
    <row r="10" spans="1:22" x14ac:dyDescent="0.25">
      <c r="F10" s="11" t="s">
        <v>1081</v>
      </c>
      <c r="G10" s="21">
        <v>53757000</v>
      </c>
      <c r="H10" s="21">
        <v>11855000</v>
      </c>
      <c r="K10" s="9" t="s">
        <v>1127</v>
      </c>
      <c r="L10" s="21">
        <v>8688405</v>
      </c>
      <c r="O10" s="9" t="s">
        <v>40</v>
      </c>
      <c r="P10" s="21">
        <v>9593940</v>
      </c>
    </row>
    <row r="11" spans="1:22" x14ac:dyDescent="0.25">
      <c r="F11" s="11" t="s">
        <v>1083</v>
      </c>
      <c r="G11" s="21">
        <v>16485300</v>
      </c>
      <c r="H11" s="21">
        <v>3552300</v>
      </c>
      <c r="K11" s="9" t="s">
        <v>1128</v>
      </c>
      <c r="L11" s="21">
        <v>7910720</v>
      </c>
      <c r="O11" s="9" t="s">
        <v>22</v>
      </c>
      <c r="P11" s="21">
        <v>7641600</v>
      </c>
    </row>
    <row r="12" spans="1:22" x14ac:dyDescent="0.25">
      <c r="F12" s="11" t="s">
        <v>1084</v>
      </c>
      <c r="G12" s="21">
        <v>9831600</v>
      </c>
      <c r="H12" s="21">
        <v>2082600</v>
      </c>
      <c r="K12" s="9" t="s">
        <v>1129</v>
      </c>
      <c r="L12" s="21">
        <v>7563525</v>
      </c>
      <c r="O12" s="9" t="s">
        <v>1117</v>
      </c>
      <c r="P12" s="21">
        <v>91730815</v>
      </c>
    </row>
    <row r="13" spans="1:22" x14ac:dyDescent="0.25">
      <c r="F13" s="11" t="s">
        <v>1085</v>
      </c>
      <c r="G13" s="21">
        <v>6988400</v>
      </c>
      <c r="H13" s="21">
        <v>1284400</v>
      </c>
      <c r="K13" s="9" t="s">
        <v>1130</v>
      </c>
      <c r="L13" s="21">
        <v>7690455</v>
      </c>
    </row>
    <row r="14" spans="1:22" x14ac:dyDescent="0.25">
      <c r="F14" s="9" t="s">
        <v>1117</v>
      </c>
      <c r="G14" s="21">
        <v>91730815</v>
      </c>
      <c r="H14" s="21">
        <v>20225055</v>
      </c>
      <c r="K14" s="9" t="s">
        <v>1131</v>
      </c>
      <c r="L14" s="21">
        <v>6224620</v>
      </c>
    </row>
    <row r="15" spans="1:22" x14ac:dyDescent="0.25">
      <c r="K15" s="9" t="s">
        <v>1132</v>
      </c>
      <c r="L15" s="21">
        <v>5607290</v>
      </c>
    </row>
    <row r="16" spans="1:22" x14ac:dyDescent="0.25">
      <c r="K16" s="9" t="s">
        <v>1117</v>
      </c>
      <c r="L16" s="21">
        <v>91730815</v>
      </c>
    </row>
    <row r="19" spans="2:4" x14ac:dyDescent="0.25">
      <c r="B19" t="s">
        <v>1147</v>
      </c>
      <c r="C19" t="s">
        <v>1148</v>
      </c>
      <c r="D19" t="s">
        <v>1149</v>
      </c>
    </row>
    <row r="20" spans="2:4" x14ac:dyDescent="0.25">
      <c r="B20" s="21">
        <v>91730815</v>
      </c>
      <c r="C20" s="21">
        <v>20225055</v>
      </c>
      <c r="D20" s="21">
        <v>987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D154D-AA00-4C97-92D8-7DCF2DD56414}">
  <dimension ref="A1"/>
  <sheetViews>
    <sheetView topLeftCell="A27" zoomScale="99" zoomScaleNormal="99" workbookViewId="0">
      <selection activeCell="I45" sqref="I45"/>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F17FB-B77E-40EC-9C2F-3CB8E909B68C}">
  <dimension ref="A1:B4"/>
  <sheetViews>
    <sheetView workbookViewId="0">
      <selection activeCell="B5" sqref="B5"/>
    </sheetView>
  </sheetViews>
  <sheetFormatPr defaultRowHeight="15" x14ac:dyDescent="0.25"/>
  <cols>
    <col min="1" max="1" width="13.85546875" bestFit="1" customWidth="1"/>
  </cols>
  <sheetData>
    <row r="1" spans="1:2" x14ac:dyDescent="0.25">
      <c r="A1" t="s">
        <v>1138</v>
      </c>
      <c r="B1">
        <f>GETPIVOTDATA("Sum of Revenue",Pivot_Analysis!$B$19)</f>
        <v>91730815</v>
      </c>
    </row>
    <row r="2" spans="1:2" x14ac:dyDescent="0.25">
      <c r="A2" t="s">
        <v>1139</v>
      </c>
      <c r="B2">
        <f>GETPIVOTDATA("Sum of Profit",Pivot_Analysis!$B$19)</f>
        <v>20225055</v>
      </c>
    </row>
    <row r="3" spans="1:2" x14ac:dyDescent="0.25">
      <c r="A3" t="s">
        <v>1140</v>
      </c>
      <c r="B3" s="13">
        <f>B2/B1</f>
        <v>0.22048266986399281</v>
      </c>
    </row>
    <row r="4" spans="1:2" x14ac:dyDescent="0.25">
      <c r="A4" t="s">
        <v>1141</v>
      </c>
      <c r="B4">
        <f>GETPIVOTDATA("Count of OrderID",Pivot_Analysis!$B$19)</f>
        <v>987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9B229-7AB7-40FB-AA9D-164B5096BE51}">
  <dimension ref="B3:T39"/>
  <sheetViews>
    <sheetView showGridLines="0" tabSelected="1" topLeftCell="A2" zoomScale="63" zoomScaleNormal="63" workbookViewId="0">
      <selection activeCell="W29" sqref="W29"/>
    </sheetView>
  </sheetViews>
  <sheetFormatPr defaultRowHeight="15" x14ac:dyDescent="0.25"/>
  <cols>
    <col min="2" max="2" width="9.140625" customWidth="1"/>
  </cols>
  <sheetData>
    <row r="3" spans="2:20" ht="21" customHeight="1" x14ac:dyDescent="0.25">
      <c r="B3" s="18" t="s">
        <v>1146</v>
      </c>
      <c r="C3" s="16"/>
      <c r="D3" s="16"/>
      <c r="E3" s="16"/>
      <c r="F3" s="16"/>
      <c r="G3" s="16"/>
      <c r="H3" s="16"/>
      <c r="I3" s="16"/>
      <c r="J3" s="16"/>
      <c r="K3" s="16"/>
      <c r="L3" s="16"/>
      <c r="M3" s="16"/>
      <c r="N3" s="16"/>
      <c r="O3" s="16"/>
      <c r="P3" s="16"/>
    </row>
    <row r="4" spans="2:20" x14ac:dyDescent="0.25">
      <c r="B4" s="16"/>
      <c r="C4" s="16"/>
      <c r="D4" s="16"/>
      <c r="E4" s="16"/>
      <c r="F4" s="16"/>
      <c r="G4" s="16"/>
      <c r="H4" s="16"/>
      <c r="I4" s="16"/>
      <c r="J4" s="16"/>
      <c r="K4" s="16"/>
      <c r="L4" s="16"/>
      <c r="M4" s="16"/>
      <c r="N4" s="16"/>
      <c r="O4" s="16"/>
      <c r="P4" s="16"/>
    </row>
    <row r="6" spans="2:20" x14ac:dyDescent="0.25">
      <c r="B6" s="16" t="s">
        <v>1142</v>
      </c>
      <c r="C6" s="16"/>
      <c r="D6" s="16"/>
      <c r="F6" s="16" t="s">
        <v>1143</v>
      </c>
      <c r="G6" s="16"/>
      <c r="H6" s="16"/>
      <c r="J6" s="16" t="s">
        <v>1144</v>
      </c>
      <c r="K6" s="16"/>
      <c r="L6" s="16"/>
      <c r="N6" s="16" t="s">
        <v>1145</v>
      </c>
      <c r="O6" s="16"/>
      <c r="P6" s="16"/>
    </row>
    <row r="7" spans="2:20" ht="36" x14ac:dyDescent="0.55000000000000004">
      <c r="B7" s="19">
        <f>Dashboard_Data!B1</f>
        <v>91730815</v>
      </c>
      <c r="C7" s="19"/>
      <c r="D7" s="19"/>
      <c r="F7" s="19">
        <f>Dashboard_Data!B2</f>
        <v>20225055</v>
      </c>
      <c r="G7" s="19"/>
      <c r="H7" s="19"/>
      <c r="J7" s="20">
        <f>Dashboard_Data!B3</f>
        <v>0.22048266986399281</v>
      </c>
      <c r="K7" s="20"/>
      <c r="L7" s="20"/>
      <c r="N7" s="17">
        <f>Dashboard_Data!B4</f>
        <v>987</v>
      </c>
      <c r="O7" s="17"/>
      <c r="P7" s="17"/>
      <c r="T7" s="14"/>
    </row>
    <row r="33" spans="6:12" x14ac:dyDescent="0.25">
      <c r="G33" s="22" t="s">
        <v>1150</v>
      </c>
      <c r="H33" s="22"/>
      <c r="I33" s="22"/>
      <c r="J33" s="22"/>
      <c r="K33" s="22"/>
      <c r="L33" s="22"/>
    </row>
    <row r="39" spans="6:12" x14ac:dyDescent="0.25">
      <c r="F39" s="15"/>
    </row>
  </sheetData>
  <mergeCells count="10">
    <mergeCell ref="G33:L33"/>
    <mergeCell ref="N6:P6"/>
    <mergeCell ref="N7:P7"/>
    <mergeCell ref="B3:P4"/>
    <mergeCell ref="B6:D6"/>
    <mergeCell ref="B7:D7"/>
    <mergeCell ref="F6:H6"/>
    <mergeCell ref="F7:H7"/>
    <mergeCell ref="J6:L6"/>
    <mergeCell ref="J7:L7"/>
  </mergeCells>
  <phoneticPr fontId="7"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90"/>
  <sheetViews>
    <sheetView topLeftCell="A972" workbookViewId="0">
      <selection activeCell="J4" sqref="J3:J4"/>
    </sheetView>
  </sheetViews>
  <sheetFormatPr defaultRowHeight="15" x14ac:dyDescent="0.25"/>
  <cols>
    <col min="1" max="9" width="16" customWidth="1"/>
    <col min="10" max="10" width="15.5703125" bestFit="1" customWidth="1"/>
    <col min="11" max="11" width="11.28515625" bestFit="1" customWidth="1"/>
    <col min="12" max="12" width="11" bestFit="1" customWidth="1"/>
  </cols>
  <sheetData>
    <row r="1" spans="1:16" x14ac:dyDescent="0.25">
      <c r="A1" s="1" t="s">
        <v>0</v>
      </c>
      <c r="B1" s="1" t="s">
        <v>1</v>
      </c>
      <c r="C1" s="1" t="s">
        <v>2</v>
      </c>
      <c r="D1" s="1" t="s">
        <v>3</v>
      </c>
      <c r="E1" s="1" t="s">
        <v>4</v>
      </c>
      <c r="F1" s="1" t="s">
        <v>5</v>
      </c>
      <c r="G1" s="1" t="s">
        <v>6</v>
      </c>
      <c r="H1" s="1" t="s">
        <v>7</v>
      </c>
      <c r="I1" s="1" t="s">
        <v>8</v>
      </c>
      <c r="J1" s="7" t="s">
        <v>1110</v>
      </c>
      <c r="K1" s="7" t="s">
        <v>1079</v>
      </c>
      <c r="L1" s="7" t="s">
        <v>1080</v>
      </c>
      <c r="M1" s="7" t="s">
        <v>1111</v>
      </c>
      <c r="N1" s="7" t="s">
        <v>1112</v>
      </c>
      <c r="O1" s="7" t="s">
        <v>1113</v>
      </c>
      <c r="P1" s="7" t="s">
        <v>1091</v>
      </c>
    </row>
    <row r="2" spans="1:16" x14ac:dyDescent="0.25">
      <c r="A2" t="s">
        <v>205</v>
      </c>
      <c r="B2" s="2">
        <v>45889</v>
      </c>
      <c r="C2" t="s">
        <v>121</v>
      </c>
      <c r="D2" t="s">
        <v>39</v>
      </c>
      <c r="E2" t="s">
        <v>40</v>
      </c>
      <c r="F2" t="s">
        <v>43</v>
      </c>
      <c r="G2">
        <v>9</v>
      </c>
      <c r="H2">
        <v>1500</v>
      </c>
      <c r="I2">
        <v>0.1</v>
      </c>
      <c r="J2" t="str">
        <f>_xlfn.XLOOKUP(tblOrders[[#This Row],[ProductID]],Products!$A$2:$A$9,Products!$B$2:$B$9,"Unknown")</f>
        <v>Webcam</v>
      </c>
      <c r="K2" t="str">
        <f>_xlfn.XLOOKUP(tblOrders[[#This Row],[ProductID]],Products!$A$2:$A$9,Products!$C$2:$C$9,"Unknown")</f>
        <v>Accessories</v>
      </c>
      <c r="L2">
        <f>_xlfn.XLOOKUP(tblOrders[[#This Row],[ProductID]],Products!$A$2:$A$9,Products!$D$2:$D$9,0)</f>
        <v>980</v>
      </c>
      <c r="M2">
        <f>tblOrders[[#This Row],[Quantity]]*tblOrders[[#This Row],[UnitPrice]]*(1-tblOrders[[#This Row],[Discount]])</f>
        <v>12150</v>
      </c>
      <c r="N2">
        <f>tblOrders[[#This Row],[Quantity]]*tblOrders[[#This Row],[UnitCost]]</f>
        <v>8820</v>
      </c>
      <c r="O2">
        <f>tblOrders[[#This Row],[Revenue]]-tblOrders[[#This Row],[Cost]]</f>
        <v>3330</v>
      </c>
      <c r="P2" t="str">
        <f>TEXT(tblOrders[[#This Row],[OrderDate]],"mmm")</f>
        <v>Aug</v>
      </c>
    </row>
    <row r="3" spans="1:16" x14ac:dyDescent="0.25">
      <c r="A3" t="s">
        <v>170</v>
      </c>
      <c r="B3" s="2">
        <v>45920</v>
      </c>
      <c r="C3" t="s">
        <v>171</v>
      </c>
      <c r="D3" t="s">
        <v>39</v>
      </c>
      <c r="E3" t="s">
        <v>40</v>
      </c>
      <c r="F3" t="s">
        <v>69</v>
      </c>
      <c r="G3">
        <v>2</v>
      </c>
      <c r="H3">
        <v>12000</v>
      </c>
      <c r="I3">
        <v>0.05</v>
      </c>
      <c r="J3" t="str">
        <f>_xlfn.XLOOKUP(tblOrders[[#This Row],[ProductID]],Products!$A$2:$A$9,Products!$B$2:$B$9,"Unknown")</f>
        <v>Monitor</v>
      </c>
      <c r="K3" t="str">
        <f>_xlfn.XLOOKUP(tblOrders[[#This Row],[ProductID]],Products!$A$2:$A$9,Products!$C$2:$C$9,"Unknown")</f>
        <v>Electronics</v>
      </c>
      <c r="L3">
        <f>_xlfn.XLOOKUP(tblOrders[[#This Row],[ProductID]],Products!$A$2:$A$9,Products!$D$2:$D$9,0)</f>
        <v>9000</v>
      </c>
      <c r="M3">
        <f>tblOrders[[#This Row],[Quantity]]*tblOrders[[#This Row],[UnitPrice]]*(1-tblOrders[[#This Row],[Discount]])</f>
        <v>22800</v>
      </c>
      <c r="N3">
        <f>tblOrders[[#This Row],[Quantity]]*tblOrders[[#This Row],[UnitCost]]</f>
        <v>18000</v>
      </c>
      <c r="O3">
        <f>tblOrders[[#This Row],[Revenue]]-tblOrders[[#This Row],[Cost]]</f>
        <v>4800</v>
      </c>
      <c r="P3" t="str">
        <f>TEXT(tblOrders[[#This Row],[OrderDate]],"mmm")</f>
        <v>Sep</v>
      </c>
    </row>
    <row r="4" spans="1:16" x14ac:dyDescent="0.25">
      <c r="A4" t="s">
        <v>678</v>
      </c>
      <c r="B4" s="2">
        <v>45704</v>
      </c>
      <c r="C4" t="s">
        <v>149</v>
      </c>
      <c r="D4" t="s">
        <v>21</v>
      </c>
      <c r="E4" t="s">
        <v>22</v>
      </c>
      <c r="F4" t="s">
        <v>13</v>
      </c>
      <c r="G4">
        <v>8</v>
      </c>
      <c r="H4">
        <v>2000</v>
      </c>
      <c r="I4">
        <v>0.15</v>
      </c>
      <c r="J4" t="str">
        <f>_xlfn.XLOOKUP(tblOrders[[#This Row],[ProductID]],Products!$A$2:$A$9,Products!$B$2:$B$9,"Unknown")</f>
        <v>Headset</v>
      </c>
      <c r="K4" t="str">
        <f>_xlfn.XLOOKUP(tblOrders[[#This Row],[ProductID]],Products!$A$2:$A$9,Products!$C$2:$C$9,"Unknown")</f>
        <v>Accessories</v>
      </c>
      <c r="L4">
        <f>_xlfn.XLOOKUP(tblOrders[[#This Row],[ProductID]],Products!$A$2:$A$9,Products!$D$2:$D$9,0)</f>
        <v>1300</v>
      </c>
      <c r="M4">
        <f>tblOrders[[#This Row],[Quantity]]*tblOrders[[#This Row],[UnitPrice]]*(1-tblOrders[[#This Row],[Discount]])</f>
        <v>13600</v>
      </c>
      <c r="N4">
        <f>tblOrders[[#This Row],[Quantity]]*tblOrders[[#This Row],[UnitCost]]</f>
        <v>10400</v>
      </c>
      <c r="O4">
        <f>tblOrders[[#This Row],[Revenue]]-tblOrders[[#This Row],[Cost]]</f>
        <v>3200</v>
      </c>
      <c r="P4" t="str">
        <f>TEXT(tblOrders[[#This Row],[OrderDate]],"mmm")</f>
        <v>Feb</v>
      </c>
    </row>
    <row r="5" spans="1:16" x14ac:dyDescent="0.25">
      <c r="A5" t="s">
        <v>369</v>
      </c>
      <c r="B5" s="2">
        <v>45977</v>
      </c>
      <c r="C5" t="s">
        <v>121</v>
      </c>
      <c r="D5" t="s">
        <v>21</v>
      </c>
      <c r="E5" t="s">
        <v>22</v>
      </c>
      <c r="F5" t="s">
        <v>18</v>
      </c>
      <c r="G5">
        <v>1</v>
      </c>
      <c r="H5">
        <v>18000</v>
      </c>
      <c r="I5">
        <v>0</v>
      </c>
      <c r="J5" t="str">
        <f>_xlfn.XLOOKUP(tblOrders[[#This Row],[ProductID]],Products!$A$2:$A$9,Products!$B$2:$B$9,"Unknown")</f>
        <v>Tablet</v>
      </c>
      <c r="K5" t="str">
        <f>_xlfn.XLOOKUP(tblOrders[[#This Row],[ProductID]],Products!$A$2:$A$9,Products!$C$2:$C$9,"Unknown")</f>
        <v>Electronics</v>
      </c>
      <c r="L5">
        <f>_xlfn.XLOOKUP(tblOrders[[#This Row],[ProductID]],Products!$A$2:$A$9,Products!$D$2:$D$9,0)</f>
        <v>13500</v>
      </c>
      <c r="M5">
        <f>tblOrders[[#This Row],[Quantity]]*tblOrders[[#This Row],[UnitPrice]]*(1-tblOrders[[#This Row],[Discount]])</f>
        <v>18000</v>
      </c>
      <c r="N5">
        <f>tblOrders[[#This Row],[Quantity]]*tblOrders[[#This Row],[UnitCost]]</f>
        <v>13500</v>
      </c>
      <c r="O5">
        <f>tblOrders[[#This Row],[Revenue]]-tblOrders[[#This Row],[Cost]]</f>
        <v>4500</v>
      </c>
      <c r="P5" t="str">
        <f>TEXT(tblOrders[[#This Row],[OrderDate]],"mmm")</f>
        <v>Nov</v>
      </c>
    </row>
    <row r="6" spans="1:16" x14ac:dyDescent="0.25">
      <c r="A6" t="s">
        <v>787</v>
      </c>
      <c r="B6" s="2">
        <v>45965</v>
      </c>
      <c r="C6" t="s">
        <v>82</v>
      </c>
      <c r="D6" t="s">
        <v>21</v>
      </c>
      <c r="E6" t="s">
        <v>22</v>
      </c>
      <c r="F6" t="s">
        <v>43</v>
      </c>
      <c r="G6">
        <v>6</v>
      </c>
      <c r="H6">
        <v>1500</v>
      </c>
      <c r="I6">
        <v>0.05</v>
      </c>
      <c r="J6" t="str">
        <f>_xlfn.XLOOKUP(tblOrders[[#This Row],[ProductID]],Products!$A$2:$A$9,Products!$B$2:$B$9,"Unknown")</f>
        <v>Webcam</v>
      </c>
      <c r="K6" t="str">
        <f>_xlfn.XLOOKUP(tblOrders[[#This Row],[ProductID]],Products!$A$2:$A$9,Products!$C$2:$C$9,"Unknown")</f>
        <v>Accessories</v>
      </c>
      <c r="L6">
        <f>_xlfn.XLOOKUP(tblOrders[[#This Row],[ProductID]],Products!$A$2:$A$9,Products!$D$2:$D$9,0)</f>
        <v>980</v>
      </c>
      <c r="M6">
        <f>tblOrders[[#This Row],[Quantity]]*tblOrders[[#This Row],[UnitPrice]]*(1-tblOrders[[#This Row],[Discount]])</f>
        <v>8550</v>
      </c>
      <c r="N6">
        <f>tblOrders[[#This Row],[Quantity]]*tblOrders[[#This Row],[UnitCost]]</f>
        <v>5880</v>
      </c>
      <c r="O6">
        <f>tblOrders[[#This Row],[Revenue]]-tblOrders[[#This Row],[Cost]]</f>
        <v>2670</v>
      </c>
      <c r="P6" t="str">
        <f>TEXT(tblOrders[[#This Row],[OrderDate]],"mmm")</f>
        <v>Nov</v>
      </c>
    </row>
    <row r="7" spans="1:16" x14ac:dyDescent="0.25">
      <c r="A7" t="s">
        <v>555</v>
      </c>
      <c r="B7" s="2">
        <v>45923</v>
      </c>
      <c r="C7" t="s">
        <v>207</v>
      </c>
      <c r="D7" t="s">
        <v>11</v>
      </c>
      <c r="E7" t="s">
        <v>12</v>
      </c>
      <c r="F7" t="s">
        <v>23</v>
      </c>
      <c r="G7">
        <v>8</v>
      </c>
      <c r="H7">
        <v>900</v>
      </c>
      <c r="I7">
        <v>0</v>
      </c>
      <c r="J7" t="str">
        <f>_xlfn.XLOOKUP(tblOrders[[#This Row],[ProductID]],Products!$A$2:$A$9,Products!$B$2:$B$9,"Unknown")</f>
        <v>Keyboard</v>
      </c>
      <c r="K7" t="str">
        <f>_xlfn.XLOOKUP(tblOrders[[#This Row],[ProductID]],Products!$A$2:$A$9,Products!$C$2:$C$9,"Unknown")</f>
        <v>Accessories</v>
      </c>
      <c r="L7">
        <f>_xlfn.XLOOKUP(tblOrders[[#This Row],[ProductID]],Products!$A$2:$A$9,Products!$D$2:$D$9,0)</f>
        <v>600</v>
      </c>
      <c r="M7">
        <f>tblOrders[[#This Row],[Quantity]]*tblOrders[[#This Row],[UnitPrice]]*(1-tblOrders[[#This Row],[Discount]])</f>
        <v>7200</v>
      </c>
      <c r="N7">
        <f>tblOrders[[#This Row],[Quantity]]*tblOrders[[#This Row],[UnitCost]]</f>
        <v>4800</v>
      </c>
      <c r="O7">
        <f>tblOrders[[#This Row],[Revenue]]-tblOrders[[#This Row],[Cost]]</f>
        <v>2400</v>
      </c>
      <c r="P7" t="str">
        <f>TEXT(tblOrders[[#This Row],[OrderDate]],"mmm")</f>
        <v>Sep</v>
      </c>
    </row>
    <row r="8" spans="1:16" x14ac:dyDescent="0.25">
      <c r="A8" t="s">
        <v>544</v>
      </c>
      <c r="B8" s="2">
        <v>45892</v>
      </c>
      <c r="C8" t="s">
        <v>238</v>
      </c>
      <c r="D8" t="s">
        <v>16</v>
      </c>
      <c r="E8" t="s">
        <v>33</v>
      </c>
      <c r="F8" t="s">
        <v>13</v>
      </c>
      <c r="G8">
        <v>9</v>
      </c>
      <c r="H8">
        <v>2000</v>
      </c>
      <c r="I8">
        <v>0</v>
      </c>
      <c r="J8" t="str">
        <f>_xlfn.XLOOKUP(tblOrders[[#This Row],[ProductID]],Products!$A$2:$A$9,Products!$B$2:$B$9,"Unknown")</f>
        <v>Headset</v>
      </c>
      <c r="K8" t="str">
        <f>_xlfn.XLOOKUP(tblOrders[[#This Row],[ProductID]],Products!$A$2:$A$9,Products!$C$2:$C$9,"Unknown")</f>
        <v>Accessories</v>
      </c>
      <c r="L8">
        <f>_xlfn.XLOOKUP(tblOrders[[#This Row],[ProductID]],Products!$A$2:$A$9,Products!$D$2:$D$9,0)</f>
        <v>1300</v>
      </c>
      <c r="M8">
        <f>tblOrders[[#This Row],[Quantity]]*tblOrders[[#This Row],[UnitPrice]]*(1-tblOrders[[#This Row],[Discount]])</f>
        <v>18000</v>
      </c>
      <c r="N8">
        <f>tblOrders[[#This Row],[Quantity]]*tblOrders[[#This Row],[UnitCost]]</f>
        <v>11700</v>
      </c>
      <c r="O8">
        <f>tblOrders[[#This Row],[Revenue]]-tblOrders[[#This Row],[Cost]]</f>
        <v>6300</v>
      </c>
      <c r="P8" t="str">
        <f>TEXT(tblOrders[[#This Row],[OrderDate]],"mmm")</f>
        <v>Aug</v>
      </c>
    </row>
    <row r="9" spans="1:16" x14ac:dyDescent="0.25">
      <c r="A9" t="s">
        <v>866</v>
      </c>
      <c r="B9" s="2">
        <v>45819</v>
      </c>
      <c r="C9" t="s">
        <v>71</v>
      </c>
      <c r="D9" t="s">
        <v>11</v>
      </c>
      <c r="E9" t="s">
        <v>12</v>
      </c>
      <c r="F9" t="s">
        <v>23</v>
      </c>
      <c r="G9">
        <v>1</v>
      </c>
      <c r="H9">
        <v>900</v>
      </c>
      <c r="I9">
        <v>0</v>
      </c>
      <c r="J9" t="str">
        <f>_xlfn.XLOOKUP(tblOrders[[#This Row],[ProductID]],Products!$A$2:$A$9,Products!$B$2:$B$9,"Unknown")</f>
        <v>Keyboard</v>
      </c>
      <c r="K9" t="str">
        <f>_xlfn.XLOOKUP(tblOrders[[#This Row],[ProductID]],Products!$A$2:$A$9,Products!$C$2:$C$9,"Unknown")</f>
        <v>Accessories</v>
      </c>
      <c r="L9">
        <f>_xlfn.XLOOKUP(tblOrders[[#This Row],[ProductID]],Products!$A$2:$A$9,Products!$D$2:$D$9,0)</f>
        <v>600</v>
      </c>
      <c r="M9">
        <f>tblOrders[[#This Row],[Quantity]]*tblOrders[[#This Row],[UnitPrice]]*(1-tblOrders[[#This Row],[Discount]])</f>
        <v>900</v>
      </c>
      <c r="N9">
        <f>tblOrders[[#This Row],[Quantity]]*tblOrders[[#This Row],[UnitCost]]</f>
        <v>600</v>
      </c>
      <c r="O9">
        <f>tblOrders[[#This Row],[Revenue]]-tblOrders[[#This Row],[Cost]]</f>
        <v>300</v>
      </c>
      <c r="P9" t="str">
        <f>TEXT(tblOrders[[#This Row],[OrderDate]],"mmm")</f>
        <v>Jun</v>
      </c>
    </row>
    <row r="10" spans="1:16" x14ac:dyDescent="0.25">
      <c r="A10" t="s">
        <v>702</v>
      </c>
      <c r="B10" s="2">
        <v>45863</v>
      </c>
      <c r="C10" t="s">
        <v>61</v>
      </c>
      <c r="D10" t="s">
        <v>21</v>
      </c>
      <c r="E10" t="s">
        <v>22</v>
      </c>
      <c r="F10" t="s">
        <v>23</v>
      </c>
      <c r="G10">
        <v>7</v>
      </c>
      <c r="H10">
        <v>900</v>
      </c>
      <c r="I10">
        <v>0</v>
      </c>
      <c r="J10" t="str">
        <f>_xlfn.XLOOKUP(tblOrders[[#This Row],[ProductID]],Products!$A$2:$A$9,Products!$B$2:$B$9,"Unknown")</f>
        <v>Keyboard</v>
      </c>
      <c r="K10" t="str">
        <f>_xlfn.XLOOKUP(tblOrders[[#This Row],[ProductID]],Products!$A$2:$A$9,Products!$C$2:$C$9,"Unknown")</f>
        <v>Accessories</v>
      </c>
      <c r="L10">
        <f>_xlfn.XLOOKUP(tblOrders[[#This Row],[ProductID]],Products!$A$2:$A$9,Products!$D$2:$D$9,0)</f>
        <v>600</v>
      </c>
      <c r="M10">
        <f>tblOrders[[#This Row],[Quantity]]*tblOrders[[#This Row],[UnitPrice]]*(1-tblOrders[[#This Row],[Discount]])</f>
        <v>6300</v>
      </c>
      <c r="N10">
        <f>tblOrders[[#This Row],[Quantity]]*tblOrders[[#This Row],[UnitCost]]</f>
        <v>4200</v>
      </c>
      <c r="O10">
        <f>tblOrders[[#This Row],[Revenue]]-tblOrders[[#This Row],[Cost]]</f>
        <v>2100</v>
      </c>
      <c r="P10" t="str">
        <f>TEXT(tblOrders[[#This Row],[OrderDate]],"mmm")</f>
        <v>Jul</v>
      </c>
    </row>
    <row r="11" spans="1:16" x14ac:dyDescent="0.25">
      <c r="A11" t="s">
        <v>485</v>
      </c>
      <c r="B11" s="2">
        <v>45767</v>
      </c>
      <c r="C11" t="s">
        <v>238</v>
      </c>
      <c r="D11" t="s">
        <v>11</v>
      </c>
      <c r="E11" t="s">
        <v>46</v>
      </c>
      <c r="F11" t="s">
        <v>34</v>
      </c>
      <c r="G11">
        <v>8</v>
      </c>
      <c r="H11">
        <v>55000</v>
      </c>
      <c r="I11">
        <v>0.05</v>
      </c>
      <c r="J11" t="str">
        <f>_xlfn.XLOOKUP(tblOrders[[#This Row],[ProductID]],Products!$A$2:$A$9,Products!$B$2:$B$9,"Unknown")</f>
        <v>Laptop</v>
      </c>
      <c r="K11" t="str">
        <f>_xlfn.XLOOKUP(tblOrders[[#This Row],[ProductID]],Products!$A$2:$A$9,Products!$C$2:$C$9,"Unknown")</f>
        <v>Electronics</v>
      </c>
      <c r="L11">
        <f>_xlfn.XLOOKUP(tblOrders[[#This Row],[ProductID]],Products!$A$2:$A$9,Products!$D$2:$D$9,0)</f>
        <v>41000</v>
      </c>
      <c r="M11">
        <f>tblOrders[[#This Row],[Quantity]]*tblOrders[[#This Row],[UnitPrice]]*(1-tblOrders[[#This Row],[Discount]])</f>
        <v>418000</v>
      </c>
      <c r="N11">
        <f>tblOrders[[#This Row],[Quantity]]*tblOrders[[#This Row],[UnitCost]]</f>
        <v>328000</v>
      </c>
      <c r="O11">
        <f>tblOrders[[#This Row],[Revenue]]-tblOrders[[#This Row],[Cost]]</f>
        <v>90000</v>
      </c>
      <c r="P11" t="str">
        <f>TEXT(tblOrders[[#This Row],[OrderDate]],"mmm")</f>
        <v>Apr</v>
      </c>
    </row>
    <row r="12" spans="1:16" x14ac:dyDescent="0.25">
      <c r="A12" t="s">
        <v>682</v>
      </c>
      <c r="B12" s="2">
        <v>45872</v>
      </c>
      <c r="C12" t="s">
        <v>25</v>
      </c>
      <c r="D12" t="s">
        <v>21</v>
      </c>
      <c r="E12" t="s">
        <v>28</v>
      </c>
      <c r="F12" t="s">
        <v>55</v>
      </c>
      <c r="G12">
        <v>13</v>
      </c>
      <c r="H12">
        <v>8000</v>
      </c>
      <c r="I12">
        <v>0.15</v>
      </c>
      <c r="J12" t="str">
        <f>_xlfn.XLOOKUP(tblOrders[[#This Row],[ProductID]],Products!$A$2:$A$9,Products!$B$2:$B$9,"Unknown")</f>
        <v>Printer</v>
      </c>
      <c r="K12" t="str">
        <f>_xlfn.XLOOKUP(tblOrders[[#This Row],[ProductID]],Products!$A$2:$A$9,Products!$C$2:$C$9,"Unknown")</f>
        <v>Electronics</v>
      </c>
      <c r="L12">
        <f>_xlfn.XLOOKUP(tblOrders[[#This Row],[ProductID]],Products!$A$2:$A$9,Products!$D$2:$D$9,0)</f>
        <v>6200</v>
      </c>
      <c r="M12">
        <f>tblOrders[[#This Row],[Quantity]]*tblOrders[[#This Row],[UnitPrice]]*(1-tblOrders[[#This Row],[Discount]])</f>
        <v>88400</v>
      </c>
      <c r="N12">
        <f>tblOrders[[#This Row],[Quantity]]*tblOrders[[#This Row],[UnitCost]]</f>
        <v>80600</v>
      </c>
      <c r="O12">
        <f>tblOrders[[#This Row],[Revenue]]-tblOrders[[#This Row],[Cost]]</f>
        <v>7800</v>
      </c>
      <c r="P12" t="str">
        <f>TEXT(tblOrders[[#This Row],[OrderDate]],"mmm")</f>
        <v>Aug</v>
      </c>
    </row>
    <row r="13" spans="1:16" x14ac:dyDescent="0.25">
      <c r="A13" t="s">
        <v>810</v>
      </c>
      <c r="B13" s="2">
        <v>45702</v>
      </c>
      <c r="C13" t="s">
        <v>68</v>
      </c>
      <c r="D13" t="s">
        <v>16</v>
      </c>
      <c r="E13" t="s">
        <v>17</v>
      </c>
      <c r="F13" t="s">
        <v>64</v>
      </c>
      <c r="G13">
        <v>1</v>
      </c>
      <c r="H13">
        <v>500</v>
      </c>
      <c r="I13">
        <v>0.05</v>
      </c>
      <c r="J13" t="str">
        <f>_xlfn.XLOOKUP(tblOrders[[#This Row],[ProductID]],Products!$A$2:$A$9,Products!$B$2:$B$9,"Unknown")</f>
        <v>Mouse</v>
      </c>
      <c r="K13" t="str">
        <f>_xlfn.XLOOKUP(tblOrders[[#This Row],[ProductID]],Products!$A$2:$A$9,Products!$C$2:$C$9,"Unknown")</f>
        <v>Accessories</v>
      </c>
      <c r="L13">
        <f>_xlfn.XLOOKUP(tblOrders[[#This Row],[ProductID]],Products!$A$2:$A$9,Products!$D$2:$D$9,0)</f>
        <v>320</v>
      </c>
      <c r="M13">
        <f>tblOrders[[#This Row],[Quantity]]*tblOrders[[#This Row],[UnitPrice]]*(1-tblOrders[[#This Row],[Discount]])</f>
        <v>475</v>
      </c>
      <c r="N13">
        <f>tblOrders[[#This Row],[Quantity]]*tblOrders[[#This Row],[UnitCost]]</f>
        <v>320</v>
      </c>
      <c r="O13">
        <f>tblOrders[[#This Row],[Revenue]]-tblOrders[[#This Row],[Cost]]</f>
        <v>155</v>
      </c>
      <c r="P13" t="str">
        <f>TEXT(tblOrders[[#This Row],[OrderDate]],"mmm")</f>
        <v>Feb</v>
      </c>
    </row>
    <row r="14" spans="1:16" x14ac:dyDescent="0.25">
      <c r="A14" t="s">
        <v>499</v>
      </c>
      <c r="B14" s="2">
        <v>45726</v>
      </c>
      <c r="C14" t="s">
        <v>90</v>
      </c>
      <c r="D14" t="s">
        <v>11</v>
      </c>
      <c r="E14" t="s">
        <v>46</v>
      </c>
      <c r="F14" t="s">
        <v>18</v>
      </c>
      <c r="G14">
        <v>1</v>
      </c>
      <c r="H14">
        <v>18000</v>
      </c>
      <c r="I14">
        <v>0</v>
      </c>
      <c r="J14" t="str">
        <f>_xlfn.XLOOKUP(tblOrders[[#This Row],[ProductID]],Products!$A$2:$A$9,Products!$B$2:$B$9,"Unknown")</f>
        <v>Tablet</v>
      </c>
      <c r="K14" t="str">
        <f>_xlfn.XLOOKUP(tblOrders[[#This Row],[ProductID]],Products!$A$2:$A$9,Products!$C$2:$C$9,"Unknown")</f>
        <v>Electronics</v>
      </c>
      <c r="L14">
        <f>_xlfn.XLOOKUP(tblOrders[[#This Row],[ProductID]],Products!$A$2:$A$9,Products!$D$2:$D$9,0)</f>
        <v>13500</v>
      </c>
      <c r="M14">
        <f>tblOrders[[#This Row],[Quantity]]*tblOrders[[#This Row],[UnitPrice]]*(1-tblOrders[[#This Row],[Discount]])</f>
        <v>18000</v>
      </c>
      <c r="N14">
        <f>tblOrders[[#This Row],[Quantity]]*tblOrders[[#This Row],[UnitCost]]</f>
        <v>13500</v>
      </c>
      <c r="O14">
        <f>tblOrders[[#This Row],[Revenue]]-tblOrders[[#This Row],[Cost]]</f>
        <v>4500</v>
      </c>
      <c r="P14" t="str">
        <f>TEXT(tblOrders[[#This Row],[OrderDate]],"mmm")</f>
        <v>Mar</v>
      </c>
    </row>
    <row r="15" spans="1:16" x14ac:dyDescent="0.25">
      <c r="A15" t="s">
        <v>977</v>
      </c>
      <c r="B15" s="2">
        <v>45748</v>
      </c>
      <c r="C15" t="s">
        <v>158</v>
      </c>
      <c r="D15" t="s">
        <v>11</v>
      </c>
      <c r="E15" t="s">
        <v>12</v>
      </c>
      <c r="F15" t="s">
        <v>43</v>
      </c>
      <c r="G15">
        <v>9</v>
      </c>
      <c r="H15">
        <v>1500</v>
      </c>
      <c r="I15">
        <v>0</v>
      </c>
      <c r="J15" t="str">
        <f>_xlfn.XLOOKUP(tblOrders[[#This Row],[ProductID]],Products!$A$2:$A$9,Products!$B$2:$B$9,"Unknown")</f>
        <v>Webcam</v>
      </c>
      <c r="K15" t="str">
        <f>_xlfn.XLOOKUP(tblOrders[[#This Row],[ProductID]],Products!$A$2:$A$9,Products!$C$2:$C$9,"Unknown")</f>
        <v>Accessories</v>
      </c>
      <c r="L15">
        <f>_xlfn.XLOOKUP(tblOrders[[#This Row],[ProductID]],Products!$A$2:$A$9,Products!$D$2:$D$9,0)</f>
        <v>980</v>
      </c>
      <c r="M15">
        <f>tblOrders[[#This Row],[Quantity]]*tblOrders[[#This Row],[UnitPrice]]*(1-tblOrders[[#This Row],[Discount]])</f>
        <v>13500</v>
      </c>
      <c r="N15">
        <f>tblOrders[[#This Row],[Quantity]]*tblOrders[[#This Row],[UnitCost]]</f>
        <v>8820</v>
      </c>
      <c r="O15">
        <f>tblOrders[[#This Row],[Revenue]]-tblOrders[[#This Row],[Cost]]</f>
        <v>4680</v>
      </c>
      <c r="P15" t="str">
        <f>TEXT(tblOrders[[#This Row],[OrderDate]],"mmm")</f>
        <v>Apr</v>
      </c>
    </row>
    <row r="16" spans="1:16" x14ac:dyDescent="0.25">
      <c r="A16" t="s">
        <v>528</v>
      </c>
      <c r="B16" s="2">
        <v>45872</v>
      </c>
      <c r="C16" t="s">
        <v>97</v>
      </c>
      <c r="D16" t="s">
        <v>39</v>
      </c>
      <c r="E16" t="s">
        <v>40</v>
      </c>
      <c r="F16" t="s">
        <v>18</v>
      </c>
      <c r="G16">
        <v>7</v>
      </c>
      <c r="H16">
        <v>18000</v>
      </c>
      <c r="I16">
        <v>0.05</v>
      </c>
      <c r="J16" t="str">
        <f>_xlfn.XLOOKUP(tblOrders[[#This Row],[ProductID]],Products!$A$2:$A$9,Products!$B$2:$B$9,"Unknown")</f>
        <v>Tablet</v>
      </c>
      <c r="K16" t="str">
        <f>_xlfn.XLOOKUP(tblOrders[[#This Row],[ProductID]],Products!$A$2:$A$9,Products!$C$2:$C$9,"Unknown")</f>
        <v>Electronics</v>
      </c>
      <c r="L16">
        <f>_xlfn.XLOOKUP(tblOrders[[#This Row],[ProductID]],Products!$A$2:$A$9,Products!$D$2:$D$9,0)</f>
        <v>13500</v>
      </c>
      <c r="M16">
        <f>tblOrders[[#This Row],[Quantity]]*tblOrders[[#This Row],[UnitPrice]]*(1-tblOrders[[#This Row],[Discount]])</f>
        <v>119700</v>
      </c>
      <c r="N16">
        <f>tblOrders[[#This Row],[Quantity]]*tblOrders[[#This Row],[UnitCost]]</f>
        <v>94500</v>
      </c>
      <c r="O16">
        <f>tblOrders[[#This Row],[Revenue]]-tblOrders[[#This Row],[Cost]]</f>
        <v>25200</v>
      </c>
      <c r="P16" t="str">
        <f>TEXT(tblOrders[[#This Row],[OrderDate]],"mmm")</f>
        <v>Aug</v>
      </c>
    </row>
    <row r="17" spans="1:16" x14ac:dyDescent="0.25">
      <c r="A17" t="s">
        <v>822</v>
      </c>
      <c r="B17" s="2">
        <v>45796</v>
      </c>
      <c r="C17" t="s">
        <v>15</v>
      </c>
      <c r="D17" t="s">
        <v>16</v>
      </c>
      <c r="E17" t="s">
        <v>17</v>
      </c>
      <c r="F17" t="s">
        <v>34</v>
      </c>
      <c r="G17">
        <v>4</v>
      </c>
      <c r="H17">
        <v>55000</v>
      </c>
      <c r="I17">
        <v>0</v>
      </c>
      <c r="J17" t="str">
        <f>_xlfn.XLOOKUP(tblOrders[[#This Row],[ProductID]],Products!$A$2:$A$9,Products!$B$2:$B$9,"Unknown")</f>
        <v>Laptop</v>
      </c>
      <c r="K17" t="str">
        <f>_xlfn.XLOOKUP(tblOrders[[#This Row],[ProductID]],Products!$A$2:$A$9,Products!$C$2:$C$9,"Unknown")</f>
        <v>Electronics</v>
      </c>
      <c r="L17">
        <f>_xlfn.XLOOKUP(tblOrders[[#This Row],[ProductID]],Products!$A$2:$A$9,Products!$D$2:$D$9,0)</f>
        <v>41000</v>
      </c>
      <c r="M17">
        <f>tblOrders[[#This Row],[Quantity]]*tblOrders[[#This Row],[UnitPrice]]*(1-tblOrders[[#This Row],[Discount]])</f>
        <v>220000</v>
      </c>
      <c r="N17">
        <f>tblOrders[[#This Row],[Quantity]]*tblOrders[[#This Row],[UnitCost]]</f>
        <v>164000</v>
      </c>
      <c r="O17">
        <f>tblOrders[[#This Row],[Revenue]]-tblOrders[[#This Row],[Cost]]</f>
        <v>56000</v>
      </c>
      <c r="P17" t="str">
        <f>TEXT(tblOrders[[#This Row],[OrderDate]],"mmm")</f>
        <v>May</v>
      </c>
    </row>
    <row r="18" spans="1:16" x14ac:dyDescent="0.25">
      <c r="A18" t="s">
        <v>610</v>
      </c>
      <c r="B18" s="2">
        <v>45679</v>
      </c>
      <c r="C18" t="s">
        <v>38</v>
      </c>
      <c r="D18" t="s">
        <v>11</v>
      </c>
      <c r="E18" t="s">
        <v>46</v>
      </c>
      <c r="F18" t="s">
        <v>55</v>
      </c>
      <c r="G18">
        <v>8</v>
      </c>
      <c r="H18">
        <v>8000</v>
      </c>
      <c r="I18">
        <v>0</v>
      </c>
      <c r="J18" t="str">
        <f>_xlfn.XLOOKUP(tblOrders[[#This Row],[ProductID]],Products!$A$2:$A$9,Products!$B$2:$B$9,"Unknown")</f>
        <v>Printer</v>
      </c>
      <c r="K18" t="str">
        <f>_xlfn.XLOOKUP(tblOrders[[#This Row],[ProductID]],Products!$A$2:$A$9,Products!$C$2:$C$9,"Unknown")</f>
        <v>Electronics</v>
      </c>
      <c r="L18">
        <f>_xlfn.XLOOKUP(tblOrders[[#This Row],[ProductID]],Products!$A$2:$A$9,Products!$D$2:$D$9,0)</f>
        <v>6200</v>
      </c>
      <c r="M18">
        <f>tblOrders[[#This Row],[Quantity]]*tblOrders[[#This Row],[UnitPrice]]*(1-tblOrders[[#This Row],[Discount]])</f>
        <v>64000</v>
      </c>
      <c r="N18">
        <f>tblOrders[[#This Row],[Quantity]]*tblOrders[[#This Row],[UnitCost]]</f>
        <v>49600</v>
      </c>
      <c r="O18">
        <f>tblOrders[[#This Row],[Revenue]]-tblOrders[[#This Row],[Cost]]</f>
        <v>14400</v>
      </c>
      <c r="P18" t="str">
        <f>TEXT(tblOrders[[#This Row],[OrderDate]],"mmm")</f>
        <v>Jan</v>
      </c>
    </row>
    <row r="19" spans="1:16" x14ac:dyDescent="0.25">
      <c r="A19" t="s">
        <v>852</v>
      </c>
      <c r="B19" s="2">
        <v>45809</v>
      </c>
      <c r="C19" t="s">
        <v>97</v>
      </c>
      <c r="D19" t="s">
        <v>39</v>
      </c>
      <c r="E19" t="s">
        <v>40</v>
      </c>
      <c r="F19" t="s">
        <v>18</v>
      </c>
      <c r="G19">
        <v>2</v>
      </c>
      <c r="H19">
        <v>18000</v>
      </c>
      <c r="I19">
        <v>0</v>
      </c>
      <c r="J19" t="str">
        <f>_xlfn.XLOOKUP(tblOrders[[#This Row],[ProductID]],Products!$A$2:$A$9,Products!$B$2:$B$9,"Unknown")</f>
        <v>Tablet</v>
      </c>
      <c r="K19" t="str">
        <f>_xlfn.XLOOKUP(tblOrders[[#This Row],[ProductID]],Products!$A$2:$A$9,Products!$C$2:$C$9,"Unknown")</f>
        <v>Electronics</v>
      </c>
      <c r="L19">
        <f>_xlfn.XLOOKUP(tblOrders[[#This Row],[ProductID]],Products!$A$2:$A$9,Products!$D$2:$D$9,0)</f>
        <v>13500</v>
      </c>
      <c r="M19">
        <f>tblOrders[[#This Row],[Quantity]]*tblOrders[[#This Row],[UnitPrice]]*(1-tblOrders[[#This Row],[Discount]])</f>
        <v>36000</v>
      </c>
      <c r="N19">
        <f>tblOrders[[#This Row],[Quantity]]*tblOrders[[#This Row],[UnitCost]]</f>
        <v>27000</v>
      </c>
      <c r="O19">
        <f>tblOrders[[#This Row],[Revenue]]-tblOrders[[#This Row],[Cost]]</f>
        <v>9000</v>
      </c>
      <c r="P19" t="str">
        <f>TEXT(tblOrders[[#This Row],[OrderDate]],"mmm")</f>
        <v>Jun</v>
      </c>
    </row>
    <row r="20" spans="1:16" x14ac:dyDescent="0.25">
      <c r="A20" t="s">
        <v>475</v>
      </c>
      <c r="B20" s="2">
        <v>45665</v>
      </c>
      <c r="C20" t="s">
        <v>78</v>
      </c>
      <c r="D20" t="s">
        <v>16</v>
      </c>
      <c r="E20" t="s">
        <v>33</v>
      </c>
      <c r="F20" t="s">
        <v>64</v>
      </c>
      <c r="G20">
        <v>10</v>
      </c>
      <c r="H20">
        <v>500</v>
      </c>
      <c r="I20">
        <v>0.05</v>
      </c>
      <c r="J20" t="str">
        <f>_xlfn.XLOOKUP(tblOrders[[#This Row],[ProductID]],Products!$A$2:$A$9,Products!$B$2:$B$9,"Unknown")</f>
        <v>Mouse</v>
      </c>
      <c r="K20" t="str">
        <f>_xlfn.XLOOKUP(tblOrders[[#This Row],[ProductID]],Products!$A$2:$A$9,Products!$C$2:$C$9,"Unknown")</f>
        <v>Accessories</v>
      </c>
      <c r="L20">
        <f>_xlfn.XLOOKUP(tblOrders[[#This Row],[ProductID]],Products!$A$2:$A$9,Products!$D$2:$D$9,0)</f>
        <v>320</v>
      </c>
      <c r="M20">
        <f>tblOrders[[#This Row],[Quantity]]*tblOrders[[#This Row],[UnitPrice]]*(1-tblOrders[[#This Row],[Discount]])</f>
        <v>4750</v>
      </c>
      <c r="N20">
        <f>tblOrders[[#This Row],[Quantity]]*tblOrders[[#This Row],[UnitCost]]</f>
        <v>3200</v>
      </c>
      <c r="O20">
        <f>tblOrders[[#This Row],[Revenue]]-tblOrders[[#This Row],[Cost]]</f>
        <v>1550</v>
      </c>
      <c r="P20" t="str">
        <f>TEXT(tblOrders[[#This Row],[OrderDate]],"mmm")</f>
        <v>Jan</v>
      </c>
    </row>
    <row r="21" spans="1:16" x14ac:dyDescent="0.25">
      <c r="A21" t="s">
        <v>808</v>
      </c>
      <c r="B21" s="2">
        <v>45952</v>
      </c>
      <c r="C21" t="s">
        <v>103</v>
      </c>
      <c r="D21" t="s">
        <v>11</v>
      </c>
      <c r="E21" t="s">
        <v>46</v>
      </c>
      <c r="F21" t="s">
        <v>13</v>
      </c>
      <c r="G21">
        <v>3</v>
      </c>
      <c r="H21">
        <v>2000</v>
      </c>
      <c r="I21">
        <v>0.15</v>
      </c>
      <c r="J21" t="str">
        <f>_xlfn.XLOOKUP(tblOrders[[#This Row],[ProductID]],Products!$A$2:$A$9,Products!$B$2:$B$9,"Unknown")</f>
        <v>Headset</v>
      </c>
      <c r="K21" t="str">
        <f>_xlfn.XLOOKUP(tblOrders[[#This Row],[ProductID]],Products!$A$2:$A$9,Products!$C$2:$C$9,"Unknown")</f>
        <v>Accessories</v>
      </c>
      <c r="L21">
        <f>_xlfn.XLOOKUP(tblOrders[[#This Row],[ProductID]],Products!$A$2:$A$9,Products!$D$2:$D$9,0)</f>
        <v>1300</v>
      </c>
      <c r="M21">
        <f>tblOrders[[#This Row],[Quantity]]*tblOrders[[#This Row],[UnitPrice]]*(1-tblOrders[[#This Row],[Discount]])</f>
        <v>5100</v>
      </c>
      <c r="N21">
        <f>tblOrders[[#This Row],[Quantity]]*tblOrders[[#This Row],[UnitCost]]</f>
        <v>3900</v>
      </c>
      <c r="O21">
        <f>tblOrders[[#This Row],[Revenue]]-tblOrders[[#This Row],[Cost]]</f>
        <v>1200</v>
      </c>
      <c r="P21" t="str">
        <f>TEXT(tblOrders[[#This Row],[OrderDate]],"mmm")</f>
        <v>Oct</v>
      </c>
    </row>
    <row r="22" spans="1:16" x14ac:dyDescent="0.25">
      <c r="A22" t="s">
        <v>363</v>
      </c>
      <c r="B22" s="2">
        <v>45774</v>
      </c>
      <c r="C22" t="s">
        <v>54</v>
      </c>
      <c r="D22" t="s">
        <v>11</v>
      </c>
      <c r="E22" t="s">
        <v>12</v>
      </c>
      <c r="F22" t="s">
        <v>55</v>
      </c>
      <c r="G22">
        <v>3</v>
      </c>
      <c r="H22">
        <v>8000</v>
      </c>
      <c r="I22">
        <v>0.15</v>
      </c>
      <c r="J22" t="str">
        <f>_xlfn.XLOOKUP(tblOrders[[#This Row],[ProductID]],Products!$A$2:$A$9,Products!$B$2:$B$9,"Unknown")</f>
        <v>Printer</v>
      </c>
      <c r="K22" t="str">
        <f>_xlfn.XLOOKUP(tblOrders[[#This Row],[ProductID]],Products!$A$2:$A$9,Products!$C$2:$C$9,"Unknown")</f>
        <v>Electronics</v>
      </c>
      <c r="L22">
        <f>_xlfn.XLOOKUP(tblOrders[[#This Row],[ProductID]],Products!$A$2:$A$9,Products!$D$2:$D$9,0)</f>
        <v>6200</v>
      </c>
      <c r="M22">
        <f>tblOrders[[#This Row],[Quantity]]*tblOrders[[#This Row],[UnitPrice]]*(1-tblOrders[[#This Row],[Discount]])</f>
        <v>20400</v>
      </c>
      <c r="N22">
        <f>tblOrders[[#This Row],[Quantity]]*tblOrders[[#This Row],[UnitCost]]</f>
        <v>18600</v>
      </c>
      <c r="O22">
        <f>tblOrders[[#This Row],[Revenue]]-tblOrders[[#This Row],[Cost]]</f>
        <v>1800</v>
      </c>
      <c r="P22" t="str">
        <f>TEXT(tblOrders[[#This Row],[OrderDate]],"mmm")</f>
        <v>Apr</v>
      </c>
    </row>
    <row r="23" spans="1:16" x14ac:dyDescent="0.25">
      <c r="A23" t="s">
        <v>704</v>
      </c>
      <c r="B23" s="2">
        <v>46009</v>
      </c>
      <c r="C23" t="s">
        <v>160</v>
      </c>
      <c r="D23" t="s">
        <v>39</v>
      </c>
      <c r="E23" t="s">
        <v>40</v>
      </c>
      <c r="F23" t="s">
        <v>43</v>
      </c>
      <c r="G23">
        <v>10</v>
      </c>
      <c r="H23">
        <v>1500</v>
      </c>
      <c r="I23">
        <v>0</v>
      </c>
      <c r="J23" t="str">
        <f>_xlfn.XLOOKUP(tblOrders[[#This Row],[ProductID]],Products!$A$2:$A$9,Products!$B$2:$B$9,"Unknown")</f>
        <v>Webcam</v>
      </c>
      <c r="K23" t="str">
        <f>_xlfn.XLOOKUP(tblOrders[[#This Row],[ProductID]],Products!$A$2:$A$9,Products!$C$2:$C$9,"Unknown")</f>
        <v>Accessories</v>
      </c>
      <c r="L23">
        <f>_xlfn.XLOOKUP(tblOrders[[#This Row],[ProductID]],Products!$A$2:$A$9,Products!$D$2:$D$9,0)</f>
        <v>980</v>
      </c>
      <c r="M23">
        <f>tblOrders[[#This Row],[Quantity]]*tblOrders[[#This Row],[UnitPrice]]*(1-tblOrders[[#This Row],[Discount]])</f>
        <v>15000</v>
      </c>
      <c r="N23">
        <f>tblOrders[[#This Row],[Quantity]]*tblOrders[[#This Row],[UnitCost]]</f>
        <v>9800</v>
      </c>
      <c r="O23">
        <f>tblOrders[[#This Row],[Revenue]]-tblOrders[[#This Row],[Cost]]</f>
        <v>5200</v>
      </c>
      <c r="P23" t="str">
        <f>TEXT(tblOrders[[#This Row],[OrderDate]],"mmm")</f>
        <v>Dec</v>
      </c>
    </row>
    <row r="24" spans="1:16" x14ac:dyDescent="0.25">
      <c r="A24" t="s">
        <v>574</v>
      </c>
      <c r="B24" s="2">
        <v>45711</v>
      </c>
      <c r="C24" t="s">
        <v>66</v>
      </c>
      <c r="D24" t="s">
        <v>21</v>
      </c>
      <c r="E24" t="s">
        <v>28</v>
      </c>
      <c r="F24" t="s">
        <v>34</v>
      </c>
      <c r="G24">
        <v>9</v>
      </c>
      <c r="H24">
        <v>55000</v>
      </c>
      <c r="I24">
        <v>0</v>
      </c>
      <c r="J24" t="str">
        <f>_xlfn.XLOOKUP(tblOrders[[#This Row],[ProductID]],Products!$A$2:$A$9,Products!$B$2:$B$9,"Unknown")</f>
        <v>Laptop</v>
      </c>
      <c r="K24" t="str">
        <f>_xlfn.XLOOKUP(tblOrders[[#This Row],[ProductID]],Products!$A$2:$A$9,Products!$C$2:$C$9,"Unknown")</f>
        <v>Electronics</v>
      </c>
      <c r="L24">
        <f>_xlfn.XLOOKUP(tblOrders[[#This Row],[ProductID]],Products!$A$2:$A$9,Products!$D$2:$D$9,0)</f>
        <v>41000</v>
      </c>
      <c r="M24">
        <f>tblOrders[[#This Row],[Quantity]]*tblOrders[[#This Row],[UnitPrice]]*(1-tblOrders[[#This Row],[Discount]])</f>
        <v>495000</v>
      </c>
      <c r="N24">
        <f>tblOrders[[#This Row],[Quantity]]*tblOrders[[#This Row],[UnitCost]]</f>
        <v>369000</v>
      </c>
      <c r="O24">
        <f>tblOrders[[#This Row],[Revenue]]-tblOrders[[#This Row],[Cost]]</f>
        <v>126000</v>
      </c>
      <c r="P24" t="str">
        <f>TEXT(tblOrders[[#This Row],[OrderDate]],"mmm")</f>
        <v>Feb</v>
      </c>
    </row>
    <row r="25" spans="1:16" x14ac:dyDescent="0.25">
      <c r="A25" t="s">
        <v>493</v>
      </c>
      <c r="B25" s="2">
        <v>45789</v>
      </c>
      <c r="C25" t="s">
        <v>144</v>
      </c>
      <c r="D25" t="s">
        <v>39</v>
      </c>
      <c r="E25" t="s">
        <v>40</v>
      </c>
      <c r="F25" t="s">
        <v>43</v>
      </c>
      <c r="G25">
        <v>5</v>
      </c>
      <c r="H25">
        <v>1500</v>
      </c>
      <c r="I25">
        <v>0.1</v>
      </c>
      <c r="J25" t="str">
        <f>_xlfn.XLOOKUP(tblOrders[[#This Row],[ProductID]],Products!$A$2:$A$9,Products!$B$2:$B$9,"Unknown")</f>
        <v>Webcam</v>
      </c>
      <c r="K25" t="str">
        <f>_xlfn.XLOOKUP(tblOrders[[#This Row],[ProductID]],Products!$A$2:$A$9,Products!$C$2:$C$9,"Unknown")</f>
        <v>Accessories</v>
      </c>
      <c r="L25">
        <f>_xlfn.XLOOKUP(tblOrders[[#This Row],[ProductID]],Products!$A$2:$A$9,Products!$D$2:$D$9,0)</f>
        <v>980</v>
      </c>
      <c r="M25">
        <f>tblOrders[[#This Row],[Quantity]]*tblOrders[[#This Row],[UnitPrice]]*(1-tblOrders[[#This Row],[Discount]])</f>
        <v>6750</v>
      </c>
      <c r="N25">
        <f>tblOrders[[#This Row],[Quantity]]*tblOrders[[#This Row],[UnitCost]]</f>
        <v>4900</v>
      </c>
      <c r="O25">
        <f>tblOrders[[#This Row],[Revenue]]-tblOrders[[#This Row],[Cost]]</f>
        <v>1850</v>
      </c>
      <c r="P25" t="str">
        <f>TEXT(tblOrders[[#This Row],[OrderDate]],"mmm")</f>
        <v>May</v>
      </c>
    </row>
    <row r="26" spans="1:16" x14ac:dyDescent="0.25">
      <c r="A26" t="s">
        <v>464</v>
      </c>
      <c r="B26" s="2">
        <v>45722</v>
      </c>
      <c r="C26" t="s">
        <v>48</v>
      </c>
      <c r="D26" t="s">
        <v>11</v>
      </c>
      <c r="E26" t="s">
        <v>12</v>
      </c>
      <c r="F26" t="s">
        <v>43</v>
      </c>
      <c r="G26">
        <v>9</v>
      </c>
      <c r="H26">
        <v>1500</v>
      </c>
      <c r="I26">
        <v>0.15</v>
      </c>
      <c r="J26" t="str">
        <f>_xlfn.XLOOKUP(tblOrders[[#This Row],[ProductID]],Products!$A$2:$A$9,Products!$B$2:$B$9,"Unknown")</f>
        <v>Webcam</v>
      </c>
      <c r="K26" t="str">
        <f>_xlfn.XLOOKUP(tblOrders[[#This Row],[ProductID]],Products!$A$2:$A$9,Products!$C$2:$C$9,"Unknown")</f>
        <v>Accessories</v>
      </c>
      <c r="L26">
        <f>_xlfn.XLOOKUP(tblOrders[[#This Row],[ProductID]],Products!$A$2:$A$9,Products!$D$2:$D$9,0)</f>
        <v>980</v>
      </c>
      <c r="M26">
        <f>tblOrders[[#This Row],[Quantity]]*tblOrders[[#This Row],[UnitPrice]]*(1-tblOrders[[#This Row],[Discount]])</f>
        <v>11475</v>
      </c>
      <c r="N26">
        <f>tblOrders[[#This Row],[Quantity]]*tblOrders[[#This Row],[UnitCost]]</f>
        <v>8820</v>
      </c>
      <c r="O26">
        <f>tblOrders[[#This Row],[Revenue]]-tblOrders[[#This Row],[Cost]]</f>
        <v>2655</v>
      </c>
      <c r="P26" t="str">
        <f>TEXT(tblOrders[[#This Row],[OrderDate]],"mmm")</f>
        <v>Mar</v>
      </c>
    </row>
    <row r="27" spans="1:16" x14ac:dyDescent="0.25">
      <c r="A27" t="s">
        <v>220</v>
      </c>
      <c r="B27" s="2">
        <v>45801</v>
      </c>
      <c r="C27" t="s">
        <v>130</v>
      </c>
      <c r="D27" t="s">
        <v>11</v>
      </c>
      <c r="E27" t="s">
        <v>46</v>
      </c>
      <c r="F27" t="s">
        <v>55</v>
      </c>
      <c r="G27">
        <v>12</v>
      </c>
      <c r="H27">
        <v>8000</v>
      </c>
      <c r="I27">
        <v>0</v>
      </c>
      <c r="J27" t="str">
        <f>_xlfn.XLOOKUP(tblOrders[[#This Row],[ProductID]],Products!$A$2:$A$9,Products!$B$2:$B$9,"Unknown")</f>
        <v>Printer</v>
      </c>
      <c r="K27" t="str">
        <f>_xlfn.XLOOKUP(tblOrders[[#This Row],[ProductID]],Products!$A$2:$A$9,Products!$C$2:$C$9,"Unknown")</f>
        <v>Electronics</v>
      </c>
      <c r="L27">
        <f>_xlfn.XLOOKUP(tblOrders[[#This Row],[ProductID]],Products!$A$2:$A$9,Products!$D$2:$D$9,0)</f>
        <v>6200</v>
      </c>
      <c r="M27">
        <f>tblOrders[[#This Row],[Quantity]]*tblOrders[[#This Row],[UnitPrice]]*(1-tblOrders[[#This Row],[Discount]])</f>
        <v>96000</v>
      </c>
      <c r="N27">
        <f>tblOrders[[#This Row],[Quantity]]*tblOrders[[#This Row],[UnitCost]]</f>
        <v>74400</v>
      </c>
      <c r="O27">
        <f>tblOrders[[#This Row],[Revenue]]-tblOrders[[#This Row],[Cost]]</f>
        <v>21600</v>
      </c>
      <c r="P27" t="str">
        <f>TEXT(tblOrders[[#This Row],[OrderDate]],"mmm")</f>
        <v>May</v>
      </c>
    </row>
    <row r="28" spans="1:16" x14ac:dyDescent="0.25">
      <c r="A28" t="s">
        <v>378</v>
      </c>
      <c r="B28" s="2">
        <v>45868</v>
      </c>
      <c r="C28" t="s">
        <v>144</v>
      </c>
      <c r="D28" t="s">
        <v>39</v>
      </c>
      <c r="E28" t="s">
        <v>76</v>
      </c>
      <c r="F28" t="s">
        <v>55</v>
      </c>
      <c r="G28">
        <v>1</v>
      </c>
      <c r="H28">
        <v>8000</v>
      </c>
      <c r="I28">
        <v>0</v>
      </c>
      <c r="J28" t="str">
        <f>_xlfn.XLOOKUP(tblOrders[[#This Row],[ProductID]],Products!$A$2:$A$9,Products!$B$2:$B$9,"Unknown")</f>
        <v>Printer</v>
      </c>
      <c r="K28" t="str">
        <f>_xlfn.XLOOKUP(tblOrders[[#This Row],[ProductID]],Products!$A$2:$A$9,Products!$C$2:$C$9,"Unknown")</f>
        <v>Electronics</v>
      </c>
      <c r="L28">
        <f>_xlfn.XLOOKUP(tblOrders[[#This Row],[ProductID]],Products!$A$2:$A$9,Products!$D$2:$D$9,0)</f>
        <v>6200</v>
      </c>
      <c r="M28">
        <f>tblOrders[[#This Row],[Quantity]]*tblOrders[[#This Row],[UnitPrice]]*(1-tblOrders[[#This Row],[Discount]])</f>
        <v>8000</v>
      </c>
      <c r="N28">
        <f>tblOrders[[#This Row],[Quantity]]*tblOrders[[#This Row],[UnitCost]]</f>
        <v>6200</v>
      </c>
      <c r="O28">
        <f>tblOrders[[#This Row],[Revenue]]-tblOrders[[#This Row],[Cost]]</f>
        <v>1800</v>
      </c>
      <c r="P28" t="str">
        <f>TEXT(tblOrders[[#This Row],[OrderDate]],"mmm")</f>
        <v>Jul</v>
      </c>
    </row>
    <row r="29" spans="1:16" x14ac:dyDescent="0.25">
      <c r="A29" t="s">
        <v>759</v>
      </c>
      <c r="B29" s="2">
        <v>45846</v>
      </c>
      <c r="C29" t="s">
        <v>73</v>
      </c>
      <c r="D29" t="s">
        <v>11</v>
      </c>
      <c r="E29" t="s">
        <v>46</v>
      </c>
      <c r="F29" t="s">
        <v>18</v>
      </c>
      <c r="G29">
        <v>6</v>
      </c>
      <c r="H29">
        <v>18000</v>
      </c>
      <c r="I29">
        <v>0</v>
      </c>
      <c r="J29" t="str">
        <f>_xlfn.XLOOKUP(tblOrders[[#This Row],[ProductID]],Products!$A$2:$A$9,Products!$B$2:$B$9,"Unknown")</f>
        <v>Tablet</v>
      </c>
      <c r="K29" t="str">
        <f>_xlfn.XLOOKUP(tblOrders[[#This Row],[ProductID]],Products!$A$2:$A$9,Products!$C$2:$C$9,"Unknown")</f>
        <v>Electronics</v>
      </c>
      <c r="L29">
        <f>_xlfn.XLOOKUP(tblOrders[[#This Row],[ProductID]],Products!$A$2:$A$9,Products!$D$2:$D$9,0)</f>
        <v>13500</v>
      </c>
      <c r="M29">
        <f>tblOrders[[#This Row],[Quantity]]*tblOrders[[#This Row],[UnitPrice]]*(1-tblOrders[[#This Row],[Discount]])</f>
        <v>108000</v>
      </c>
      <c r="N29">
        <f>tblOrders[[#This Row],[Quantity]]*tblOrders[[#This Row],[UnitCost]]</f>
        <v>81000</v>
      </c>
      <c r="O29">
        <f>tblOrders[[#This Row],[Revenue]]-tblOrders[[#This Row],[Cost]]</f>
        <v>27000</v>
      </c>
      <c r="P29" t="str">
        <f>TEXT(tblOrders[[#This Row],[OrderDate]],"mmm")</f>
        <v>Jul</v>
      </c>
    </row>
    <row r="30" spans="1:16" x14ac:dyDescent="0.25">
      <c r="A30" t="s">
        <v>44</v>
      </c>
      <c r="B30" s="2">
        <v>45827</v>
      </c>
      <c r="C30" t="s">
        <v>45</v>
      </c>
      <c r="D30" t="s">
        <v>11</v>
      </c>
      <c r="E30" t="s">
        <v>46</v>
      </c>
      <c r="F30" t="s">
        <v>34</v>
      </c>
      <c r="G30">
        <v>15</v>
      </c>
      <c r="H30">
        <v>55000</v>
      </c>
      <c r="I30">
        <v>0</v>
      </c>
      <c r="J30" t="str">
        <f>_xlfn.XLOOKUP(tblOrders[[#This Row],[ProductID]],Products!$A$2:$A$9,Products!$B$2:$B$9,"Unknown")</f>
        <v>Laptop</v>
      </c>
      <c r="K30" t="str">
        <f>_xlfn.XLOOKUP(tblOrders[[#This Row],[ProductID]],Products!$A$2:$A$9,Products!$C$2:$C$9,"Unknown")</f>
        <v>Electronics</v>
      </c>
      <c r="L30">
        <f>_xlfn.XLOOKUP(tblOrders[[#This Row],[ProductID]],Products!$A$2:$A$9,Products!$D$2:$D$9,0)</f>
        <v>41000</v>
      </c>
      <c r="M30">
        <f>tblOrders[[#This Row],[Quantity]]*tblOrders[[#This Row],[UnitPrice]]*(1-tblOrders[[#This Row],[Discount]])</f>
        <v>825000</v>
      </c>
      <c r="N30">
        <f>tblOrders[[#This Row],[Quantity]]*tblOrders[[#This Row],[UnitCost]]</f>
        <v>615000</v>
      </c>
      <c r="O30">
        <f>tblOrders[[#This Row],[Revenue]]-tblOrders[[#This Row],[Cost]]</f>
        <v>210000</v>
      </c>
      <c r="P30" t="str">
        <f>TEXT(tblOrders[[#This Row],[OrderDate]],"mmm")</f>
        <v>Jun</v>
      </c>
    </row>
    <row r="31" spans="1:16" x14ac:dyDescent="0.25">
      <c r="A31" t="s">
        <v>934</v>
      </c>
      <c r="B31" s="2">
        <v>46016</v>
      </c>
      <c r="C31" t="s">
        <v>54</v>
      </c>
      <c r="D31" t="s">
        <v>16</v>
      </c>
      <c r="E31" t="s">
        <v>17</v>
      </c>
      <c r="F31" t="s">
        <v>34</v>
      </c>
      <c r="G31">
        <v>1</v>
      </c>
      <c r="H31">
        <v>55000</v>
      </c>
      <c r="I31">
        <v>0.1</v>
      </c>
      <c r="J31" t="str">
        <f>_xlfn.XLOOKUP(tblOrders[[#This Row],[ProductID]],Products!$A$2:$A$9,Products!$B$2:$B$9,"Unknown")</f>
        <v>Laptop</v>
      </c>
      <c r="K31" t="str">
        <f>_xlfn.XLOOKUP(tblOrders[[#This Row],[ProductID]],Products!$A$2:$A$9,Products!$C$2:$C$9,"Unknown")</f>
        <v>Electronics</v>
      </c>
      <c r="L31">
        <f>_xlfn.XLOOKUP(tblOrders[[#This Row],[ProductID]],Products!$A$2:$A$9,Products!$D$2:$D$9,0)</f>
        <v>41000</v>
      </c>
      <c r="M31">
        <f>tblOrders[[#This Row],[Quantity]]*tblOrders[[#This Row],[UnitPrice]]*(1-tblOrders[[#This Row],[Discount]])</f>
        <v>49500</v>
      </c>
      <c r="N31">
        <f>tblOrders[[#This Row],[Quantity]]*tblOrders[[#This Row],[UnitCost]]</f>
        <v>41000</v>
      </c>
      <c r="O31">
        <f>tblOrders[[#This Row],[Revenue]]-tblOrders[[#This Row],[Cost]]</f>
        <v>8500</v>
      </c>
      <c r="P31" t="str">
        <f>TEXT(tblOrders[[#This Row],[OrderDate]],"mmm")</f>
        <v>Dec</v>
      </c>
    </row>
    <row r="32" spans="1:16" x14ac:dyDescent="0.25">
      <c r="A32" t="s">
        <v>994</v>
      </c>
      <c r="B32" s="2">
        <v>45904</v>
      </c>
      <c r="C32" t="s">
        <v>130</v>
      </c>
      <c r="D32" t="s">
        <v>21</v>
      </c>
      <c r="E32" t="s">
        <v>22</v>
      </c>
      <c r="F32" t="s">
        <v>23</v>
      </c>
      <c r="G32">
        <v>6</v>
      </c>
      <c r="H32">
        <v>900</v>
      </c>
      <c r="I32">
        <v>0</v>
      </c>
      <c r="J32" t="str">
        <f>_xlfn.XLOOKUP(tblOrders[[#This Row],[ProductID]],Products!$A$2:$A$9,Products!$B$2:$B$9,"Unknown")</f>
        <v>Keyboard</v>
      </c>
      <c r="K32" t="str">
        <f>_xlfn.XLOOKUP(tblOrders[[#This Row],[ProductID]],Products!$A$2:$A$9,Products!$C$2:$C$9,"Unknown")</f>
        <v>Accessories</v>
      </c>
      <c r="L32">
        <f>_xlfn.XLOOKUP(tblOrders[[#This Row],[ProductID]],Products!$A$2:$A$9,Products!$D$2:$D$9,0)</f>
        <v>600</v>
      </c>
      <c r="M32">
        <f>tblOrders[[#This Row],[Quantity]]*tblOrders[[#This Row],[UnitPrice]]*(1-tblOrders[[#This Row],[Discount]])</f>
        <v>5400</v>
      </c>
      <c r="N32">
        <f>tblOrders[[#This Row],[Quantity]]*tblOrders[[#This Row],[UnitCost]]</f>
        <v>3600</v>
      </c>
      <c r="O32">
        <f>tblOrders[[#This Row],[Revenue]]-tblOrders[[#This Row],[Cost]]</f>
        <v>1800</v>
      </c>
      <c r="P32" t="str">
        <f>TEXT(tblOrders[[#This Row],[OrderDate]],"mmm")</f>
        <v>Sep</v>
      </c>
    </row>
    <row r="33" spans="1:16" x14ac:dyDescent="0.25">
      <c r="A33" t="s">
        <v>500</v>
      </c>
      <c r="B33" s="2">
        <v>45889</v>
      </c>
      <c r="C33" t="s">
        <v>149</v>
      </c>
      <c r="D33" t="s">
        <v>16</v>
      </c>
      <c r="E33" t="s">
        <v>17</v>
      </c>
      <c r="F33" t="s">
        <v>34</v>
      </c>
      <c r="G33">
        <v>15</v>
      </c>
      <c r="H33">
        <v>55000</v>
      </c>
      <c r="I33">
        <v>0.15</v>
      </c>
      <c r="J33" t="str">
        <f>_xlfn.XLOOKUP(tblOrders[[#This Row],[ProductID]],Products!$A$2:$A$9,Products!$B$2:$B$9,"Unknown")</f>
        <v>Laptop</v>
      </c>
      <c r="K33" t="str">
        <f>_xlfn.XLOOKUP(tblOrders[[#This Row],[ProductID]],Products!$A$2:$A$9,Products!$C$2:$C$9,"Unknown")</f>
        <v>Electronics</v>
      </c>
      <c r="L33">
        <f>_xlfn.XLOOKUP(tblOrders[[#This Row],[ProductID]],Products!$A$2:$A$9,Products!$D$2:$D$9,0)</f>
        <v>41000</v>
      </c>
      <c r="M33">
        <f>tblOrders[[#This Row],[Quantity]]*tblOrders[[#This Row],[UnitPrice]]*(1-tblOrders[[#This Row],[Discount]])</f>
        <v>701250</v>
      </c>
      <c r="N33">
        <f>tblOrders[[#This Row],[Quantity]]*tblOrders[[#This Row],[UnitCost]]</f>
        <v>615000</v>
      </c>
      <c r="O33">
        <f>tblOrders[[#This Row],[Revenue]]-tblOrders[[#This Row],[Cost]]</f>
        <v>86250</v>
      </c>
      <c r="P33" t="str">
        <f>TEXT(tblOrders[[#This Row],[OrderDate]],"mmm")</f>
        <v>Aug</v>
      </c>
    </row>
    <row r="34" spans="1:16" x14ac:dyDescent="0.25">
      <c r="A34" t="s">
        <v>920</v>
      </c>
      <c r="B34" s="2">
        <v>45832</v>
      </c>
      <c r="C34" t="s">
        <v>73</v>
      </c>
      <c r="D34" t="s">
        <v>16</v>
      </c>
      <c r="E34" t="s">
        <v>17</v>
      </c>
      <c r="F34" t="s">
        <v>18</v>
      </c>
      <c r="G34">
        <v>11</v>
      </c>
      <c r="H34">
        <v>18000</v>
      </c>
      <c r="I34">
        <v>0.05</v>
      </c>
      <c r="J34" t="str">
        <f>_xlfn.XLOOKUP(tblOrders[[#This Row],[ProductID]],Products!$A$2:$A$9,Products!$B$2:$B$9,"Unknown")</f>
        <v>Tablet</v>
      </c>
      <c r="K34" t="str">
        <f>_xlfn.XLOOKUP(tblOrders[[#This Row],[ProductID]],Products!$A$2:$A$9,Products!$C$2:$C$9,"Unknown")</f>
        <v>Electronics</v>
      </c>
      <c r="L34">
        <f>_xlfn.XLOOKUP(tblOrders[[#This Row],[ProductID]],Products!$A$2:$A$9,Products!$D$2:$D$9,0)</f>
        <v>13500</v>
      </c>
      <c r="M34">
        <f>tblOrders[[#This Row],[Quantity]]*tblOrders[[#This Row],[UnitPrice]]*(1-tblOrders[[#This Row],[Discount]])</f>
        <v>188100</v>
      </c>
      <c r="N34">
        <f>tblOrders[[#This Row],[Quantity]]*tblOrders[[#This Row],[UnitCost]]</f>
        <v>148500</v>
      </c>
      <c r="O34">
        <f>tblOrders[[#This Row],[Revenue]]-tblOrders[[#This Row],[Cost]]</f>
        <v>39600</v>
      </c>
      <c r="P34" t="str">
        <f>TEXT(tblOrders[[#This Row],[OrderDate]],"mmm")</f>
        <v>Jun</v>
      </c>
    </row>
    <row r="35" spans="1:16" x14ac:dyDescent="0.25">
      <c r="A35" t="s">
        <v>747</v>
      </c>
      <c r="B35" s="2">
        <v>45871</v>
      </c>
      <c r="C35" t="s">
        <v>153</v>
      </c>
      <c r="D35" t="s">
        <v>21</v>
      </c>
      <c r="E35" t="s">
        <v>28</v>
      </c>
      <c r="F35" t="s">
        <v>43</v>
      </c>
      <c r="G35">
        <v>10</v>
      </c>
      <c r="H35">
        <v>1500</v>
      </c>
      <c r="I35">
        <v>0</v>
      </c>
      <c r="J35" t="str">
        <f>_xlfn.XLOOKUP(tblOrders[[#This Row],[ProductID]],Products!$A$2:$A$9,Products!$B$2:$B$9,"Unknown")</f>
        <v>Webcam</v>
      </c>
      <c r="K35" t="str">
        <f>_xlfn.XLOOKUP(tblOrders[[#This Row],[ProductID]],Products!$A$2:$A$9,Products!$C$2:$C$9,"Unknown")</f>
        <v>Accessories</v>
      </c>
      <c r="L35">
        <f>_xlfn.XLOOKUP(tblOrders[[#This Row],[ProductID]],Products!$A$2:$A$9,Products!$D$2:$D$9,0)</f>
        <v>980</v>
      </c>
      <c r="M35">
        <f>tblOrders[[#This Row],[Quantity]]*tblOrders[[#This Row],[UnitPrice]]*(1-tblOrders[[#This Row],[Discount]])</f>
        <v>15000</v>
      </c>
      <c r="N35">
        <f>tblOrders[[#This Row],[Quantity]]*tblOrders[[#This Row],[UnitCost]]</f>
        <v>9800</v>
      </c>
      <c r="O35">
        <f>tblOrders[[#This Row],[Revenue]]-tblOrders[[#This Row],[Cost]]</f>
        <v>5200</v>
      </c>
      <c r="P35" t="str">
        <f>TEXT(tblOrders[[#This Row],[OrderDate]],"mmm")</f>
        <v>Aug</v>
      </c>
    </row>
    <row r="36" spans="1:16" x14ac:dyDescent="0.25">
      <c r="A36" t="s">
        <v>346</v>
      </c>
      <c r="B36" s="2">
        <v>45852</v>
      </c>
      <c r="C36" t="s">
        <v>54</v>
      </c>
      <c r="D36" t="s">
        <v>21</v>
      </c>
      <c r="E36" t="s">
        <v>22</v>
      </c>
      <c r="F36" t="s">
        <v>18</v>
      </c>
      <c r="G36">
        <v>2</v>
      </c>
      <c r="H36">
        <v>18000</v>
      </c>
      <c r="I36">
        <v>0</v>
      </c>
      <c r="J36" t="str">
        <f>_xlfn.XLOOKUP(tblOrders[[#This Row],[ProductID]],Products!$A$2:$A$9,Products!$B$2:$B$9,"Unknown")</f>
        <v>Tablet</v>
      </c>
      <c r="K36" t="str">
        <f>_xlfn.XLOOKUP(tblOrders[[#This Row],[ProductID]],Products!$A$2:$A$9,Products!$C$2:$C$9,"Unknown")</f>
        <v>Electronics</v>
      </c>
      <c r="L36">
        <f>_xlfn.XLOOKUP(tblOrders[[#This Row],[ProductID]],Products!$A$2:$A$9,Products!$D$2:$D$9,0)</f>
        <v>13500</v>
      </c>
      <c r="M36">
        <f>tblOrders[[#This Row],[Quantity]]*tblOrders[[#This Row],[UnitPrice]]*(1-tblOrders[[#This Row],[Discount]])</f>
        <v>36000</v>
      </c>
      <c r="N36">
        <f>tblOrders[[#This Row],[Quantity]]*tblOrders[[#This Row],[UnitCost]]</f>
        <v>27000</v>
      </c>
      <c r="O36">
        <f>tblOrders[[#This Row],[Revenue]]-tblOrders[[#This Row],[Cost]]</f>
        <v>9000</v>
      </c>
      <c r="P36" t="str">
        <f>TEXT(tblOrders[[#This Row],[OrderDate]],"mmm")</f>
        <v>Jul</v>
      </c>
    </row>
    <row r="37" spans="1:16" x14ac:dyDescent="0.25">
      <c r="A37" t="s">
        <v>390</v>
      </c>
      <c r="B37" s="2">
        <v>45789</v>
      </c>
      <c r="C37" t="s">
        <v>115</v>
      </c>
      <c r="D37" t="s">
        <v>39</v>
      </c>
      <c r="E37" t="s">
        <v>76</v>
      </c>
      <c r="F37" t="s">
        <v>64</v>
      </c>
      <c r="G37">
        <v>7</v>
      </c>
      <c r="H37">
        <v>500</v>
      </c>
      <c r="I37">
        <v>0.15</v>
      </c>
      <c r="J37" t="str">
        <f>_xlfn.XLOOKUP(tblOrders[[#This Row],[ProductID]],Products!$A$2:$A$9,Products!$B$2:$B$9,"Unknown")</f>
        <v>Mouse</v>
      </c>
      <c r="K37" t="str">
        <f>_xlfn.XLOOKUP(tblOrders[[#This Row],[ProductID]],Products!$A$2:$A$9,Products!$C$2:$C$9,"Unknown")</f>
        <v>Accessories</v>
      </c>
      <c r="L37">
        <f>_xlfn.XLOOKUP(tblOrders[[#This Row],[ProductID]],Products!$A$2:$A$9,Products!$D$2:$D$9,0)</f>
        <v>320</v>
      </c>
      <c r="M37">
        <f>tblOrders[[#This Row],[Quantity]]*tblOrders[[#This Row],[UnitPrice]]*(1-tblOrders[[#This Row],[Discount]])</f>
        <v>2975</v>
      </c>
      <c r="N37">
        <f>tblOrders[[#This Row],[Quantity]]*tblOrders[[#This Row],[UnitCost]]</f>
        <v>2240</v>
      </c>
      <c r="O37">
        <f>tblOrders[[#This Row],[Revenue]]-tblOrders[[#This Row],[Cost]]</f>
        <v>735</v>
      </c>
      <c r="P37" t="str">
        <f>TEXT(tblOrders[[#This Row],[OrderDate]],"mmm")</f>
        <v>May</v>
      </c>
    </row>
    <row r="38" spans="1:16" x14ac:dyDescent="0.25">
      <c r="A38" t="s">
        <v>235</v>
      </c>
      <c r="B38" s="2">
        <v>45883</v>
      </c>
      <c r="C38" t="s">
        <v>61</v>
      </c>
      <c r="D38" t="s">
        <v>39</v>
      </c>
      <c r="E38" t="s">
        <v>76</v>
      </c>
      <c r="F38" t="s">
        <v>18</v>
      </c>
      <c r="G38">
        <v>9</v>
      </c>
      <c r="H38">
        <v>18000</v>
      </c>
      <c r="I38">
        <v>0.1</v>
      </c>
      <c r="J38" t="str">
        <f>_xlfn.XLOOKUP(tblOrders[[#This Row],[ProductID]],Products!$A$2:$A$9,Products!$B$2:$B$9,"Unknown")</f>
        <v>Tablet</v>
      </c>
      <c r="K38" t="str">
        <f>_xlfn.XLOOKUP(tblOrders[[#This Row],[ProductID]],Products!$A$2:$A$9,Products!$C$2:$C$9,"Unknown")</f>
        <v>Electronics</v>
      </c>
      <c r="L38">
        <f>_xlfn.XLOOKUP(tblOrders[[#This Row],[ProductID]],Products!$A$2:$A$9,Products!$D$2:$D$9,0)</f>
        <v>13500</v>
      </c>
      <c r="M38">
        <f>tblOrders[[#This Row],[Quantity]]*tblOrders[[#This Row],[UnitPrice]]*(1-tblOrders[[#This Row],[Discount]])</f>
        <v>145800</v>
      </c>
      <c r="N38">
        <f>tblOrders[[#This Row],[Quantity]]*tblOrders[[#This Row],[UnitCost]]</f>
        <v>121500</v>
      </c>
      <c r="O38">
        <f>tblOrders[[#This Row],[Revenue]]-tblOrders[[#This Row],[Cost]]</f>
        <v>24300</v>
      </c>
      <c r="P38" t="str">
        <f>TEXT(tblOrders[[#This Row],[OrderDate]],"mmm")</f>
        <v>Aug</v>
      </c>
    </row>
    <row r="39" spans="1:16" x14ac:dyDescent="0.25">
      <c r="A39" t="s">
        <v>167</v>
      </c>
      <c r="B39" s="2">
        <v>45965</v>
      </c>
      <c r="C39" t="s">
        <v>115</v>
      </c>
      <c r="D39" t="s">
        <v>21</v>
      </c>
      <c r="E39" t="s">
        <v>22</v>
      </c>
      <c r="F39" t="s">
        <v>43</v>
      </c>
      <c r="G39">
        <v>1</v>
      </c>
      <c r="H39">
        <v>1500</v>
      </c>
      <c r="I39">
        <v>0</v>
      </c>
      <c r="J39" t="str">
        <f>_xlfn.XLOOKUP(tblOrders[[#This Row],[ProductID]],Products!$A$2:$A$9,Products!$B$2:$B$9,"Unknown")</f>
        <v>Webcam</v>
      </c>
      <c r="K39" t="str">
        <f>_xlfn.XLOOKUP(tblOrders[[#This Row],[ProductID]],Products!$A$2:$A$9,Products!$C$2:$C$9,"Unknown")</f>
        <v>Accessories</v>
      </c>
      <c r="L39">
        <f>_xlfn.XLOOKUP(tblOrders[[#This Row],[ProductID]],Products!$A$2:$A$9,Products!$D$2:$D$9,0)</f>
        <v>980</v>
      </c>
      <c r="M39">
        <f>tblOrders[[#This Row],[Quantity]]*tblOrders[[#This Row],[UnitPrice]]*(1-tblOrders[[#This Row],[Discount]])</f>
        <v>1500</v>
      </c>
      <c r="N39">
        <f>tblOrders[[#This Row],[Quantity]]*tblOrders[[#This Row],[UnitCost]]</f>
        <v>980</v>
      </c>
      <c r="O39">
        <f>tblOrders[[#This Row],[Revenue]]-tblOrders[[#This Row],[Cost]]</f>
        <v>520</v>
      </c>
      <c r="P39" t="str">
        <f>TEXT(tblOrders[[#This Row],[OrderDate]],"mmm")</f>
        <v>Nov</v>
      </c>
    </row>
    <row r="40" spans="1:16" x14ac:dyDescent="0.25">
      <c r="A40" t="s">
        <v>863</v>
      </c>
      <c r="B40" s="2">
        <v>45912</v>
      </c>
      <c r="C40" t="s">
        <v>162</v>
      </c>
      <c r="D40" t="s">
        <v>39</v>
      </c>
      <c r="E40" t="s">
        <v>76</v>
      </c>
      <c r="F40" t="s">
        <v>23</v>
      </c>
      <c r="G40">
        <v>15</v>
      </c>
      <c r="H40">
        <v>900</v>
      </c>
      <c r="I40">
        <v>0</v>
      </c>
      <c r="J40" t="str">
        <f>_xlfn.XLOOKUP(tblOrders[[#This Row],[ProductID]],Products!$A$2:$A$9,Products!$B$2:$B$9,"Unknown")</f>
        <v>Keyboard</v>
      </c>
      <c r="K40" t="str">
        <f>_xlfn.XLOOKUP(tblOrders[[#This Row],[ProductID]],Products!$A$2:$A$9,Products!$C$2:$C$9,"Unknown")</f>
        <v>Accessories</v>
      </c>
      <c r="L40">
        <f>_xlfn.XLOOKUP(tblOrders[[#This Row],[ProductID]],Products!$A$2:$A$9,Products!$D$2:$D$9,0)</f>
        <v>600</v>
      </c>
      <c r="M40">
        <f>tblOrders[[#This Row],[Quantity]]*tblOrders[[#This Row],[UnitPrice]]*(1-tblOrders[[#This Row],[Discount]])</f>
        <v>13500</v>
      </c>
      <c r="N40">
        <f>tblOrders[[#This Row],[Quantity]]*tblOrders[[#This Row],[UnitCost]]</f>
        <v>9000</v>
      </c>
      <c r="O40">
        <f>tblOrders[[#This Row],[Revenue]]-tblOrders[[#This Row],[Cost]]</f>
        <v>4500</v>
      </c>
      <c r="P40" t="str">
        <f>TEXT(tblOrders[[#This Row],[OrderDate]],"mmm")</f>
        <v>Sep</v>
      </c>
    </row>
    <row r="41" spans="1:16" x14ac:dyDescent="0.25">
      <c r="A41" t="s">
        <v>987</v>
      </c>
      <c r="B41" s="2">
        <v>45731</v>
      </c>
      <c r="C41" t="s">
        <v>1102</v>
      </c>
      <c r="D41" t="s">
        <v>11</v>
      </c>
      <c r="E41" t="s">
        <v>46</v>
      </c>
      <c r="F41" t="s">
        <v>69</v>
      </c>
      <c r="G41">
        <v>13</v>
      </c>
      <c r="H41">
        <v>12000</v>
      </c>
      <c r="I41">
        <v>0</v>
      </c>
      <c r="J41" t="str">
        <f>_xlfn.XLOOKUP(tblOrders[[#This Row],[ProductID]],Products!$A$2:$A$9,Products!$B$2:$B$9,"Unknown")</f>
        <v>Monitor</v>
      </c>
      <c r="K41" t="str">
        <f>_xlfn.XLOOKUP(tblOrders[[#This Row],[ProductID]],Products!$A$2:$A$9,Products!$C$2:$C$9,"Unknown")</f>
        <v>Electronics</v>
      </c>
      <c r="L41">
        <f>_xlfn.XLOOKUP(tblOrders[[#This Row],[ProductID]],Products!$A$2:$A$9,Products!$D$2:$D$9,0)</f>
        <v>9000</v>
      </c>
      <c r="M41">
        <f>tblOrders[[#This Row],[Quantity]]*tblOrders[[#This Row],[UnitPrice]]*(1-tblOrders[[#This Row],[Discount]])</f>
        <v>156000</v>
      </c>
      <c r="N41">
        <f>tblOrders[[#This Row],[Quantity]]*tblOrders[[#This Row],[UnitCost]]</f>
        <v>117000</v>
      </c>
      <c r="O41">
        <f>tblOrders[[#This Row],[Revenue]]-tblOrders[[#This Row],[Cost]]</f>
        <v>39000</v>
      </c>
      <c r="P41" t="str">
        <f>TEXT(tblOrders[[#This Row],[OrderDate]],"mmm")</f>
        <v>Mar</v>
      </c>
    </row>
    <row r="42" spans="1:16" x14ac:dyDescent="0.25">
      <c r="A42" t="s">
        <v>154</v>
      </c>
      <c r="B42" s="2">
        <v>45913</v>
      </c>
      <c r="C42" t="s">
        <v>155</v>
      </c>
      <c r="D42" t="s">
        <v>11</v>
      </c>
      <c r="E42" t="s">
        <v>12</v>
      </c>
      <c r="F42" t="s">
        <v>64</v>
      </c>
      <c r="G42">
        <v>7</v>
      </c>
      <c r="H42">
        <v>500</v>
      </c>
      <c r="I42">
        <v>0.15</v>
      </c>
      <c r="J42" t="str">
        <f>_xlfn.XLOOKUP(tblOrders[[#This Row],[ProductID]],Products!$A$2:$A$9,Products!$B$2:$B$9,"Unknown")</f>
        <v>Mouse</v>
      </c>
      <c r="K42" t="str">
        <f>_xlfn.XLOOKUP(tblOrders[[#This Row],[ProductID]],Products!$A$2:$A$9,Products!$C$2:$C$9,"Unknown")</f>
        <v>Accessories</v>
      </c>
      <c r="L42">
        <f>_xlfn.XLOOKUP(tblOrders[[#This Row],[ProductID]],Products!$A$2:$A$9,Products!$D$2:$D$9,0)</f>
        <v>320</v>
      </c>
      <c r="M42">
        <f>tblOrders[[#This Row],[Quantity]]*tblOrders[[#This Row],[UnitPrice]]*(1-tblOrders[[#This Row],[Discount]])</f>
        <v>2975</v>
      </c>
      <c r="N42">
        <f>tblOrders[[#This Row],[Quantity]]*tblOrders[[#This Row],[UnitCost]]</f>
        <v>2240</v>
      </c>
      <c r="O42">
        <f>tblOrders[[#This Row],[Revenue]]-tblOrders[[#This Row],[Cost]]</f>
        <v>735</v>
      </c>
      <c r="P42" t="str">
        <f>TEXT(tblOrders[[#This Row],[OrderDate]],"mmm")</f>
        <v>Sep</v>
      </c>
    </row>
    <row r="43" spans="1:16" x14ac:dyDescent="0.25">
      <c r="A43" t="s">
        <v>404</v>
      </c>
      <c r="B43" s="2">
        <v>45982</v>
      </c>
      <c r="C43" t="s">
        <v>175</v>
      </c>
      <c r="D43" t="s">
        <v>39</v>
      </c>
      <c r="E43" t="s">
        <v>40</v>
      </c>
      <c r="F43" t="s">
        <v>55</v>
      </c>
      <c r="G43">
        <v>15</v>
      </c>
      <c r="H43">
        <v>8000</v>
      </c>
      <c r="I43">
        <v>0</v>
      </c>
      <c r="J43" t="str">
        <f>_xlfn.XLOOKUP(tblOrders[[#This Row],[ProductID]],Products!$A$2:$A$9,Products!$B$2:$B$9,"Unknown")</f>
        <v>Printer</v>
      </c>
      <c r="K43" t="str">
        <f>_xlfn.XLOOKUP(tblOrders[[#This Row],[ProductID]],Products!$A$2:$A$9,Products!$C$2:$C$9,"Unknown")</f>
        <v>Electronics</v>
      </c>
      <c r="L43">
        <f>_xlfn.XLOOKUP(tblOrders[[#This Row],[ProductID]],Products!$A$2:$A$9,Products!$D$2:$D$9,0)</f>
        <v>6200</v>
      </c>
      <c r="M43">
        <f>tblOrders[[#This Row],[Quantity]]*tblOrders[[#This Row],[UnitPrice]]*(1-tblOrders[[#This Row],[Discount]])</f>
        <v>120000</v>
      </c>
      <c r="N43">
        <f>tblOrders[[#This Row],[Quantity]]*tblOrders[[#This Row],[UnitCost]]</f>
        <v>93000</v>
      </c>
      <c r="O43">
        <f>tblOrders[[#This Row],[Revenue]]-tblOrders[[#This Row],[Cost]]</f>
        <v>27000</v>
      </c>
      <c r="P43" t="str">
        <f>TEXT(tblOrders[[#This Row],[OrderDate]],"mmm")</f>
        <v>Nov</v>
      </c>
    </row>
    <row r="44" spans="1:16" x14ac:dyDescent="0.25">
      <c r="A44" t="s">
        <v>743</v>
      </c>
      <c r="B44" s="2">
        <v>45956</v>
      </c>
      <c r="C44" t="s">
        <v>50</v>
      </c>
      <c r="D44" t="s">
        <v>16</v>
      </c>
      <c r="E44" t="s">
        <v>33</v>
      </c>
      <c r="F44" t="s">
        <v>55</v>
      </c>
      <c r="G44">
        <v>3</v>
      </c>
      <c r="H44">
        <v>8000</v>
      </c>
      <c r="I44">
        <v>0</v>
      </c>
      <c r="J44" t="str">
        <f>_xlfn.XLOOKUP(tblOrders[[#This Row],[ProductID]],Products!$A$2:$A$9,Products!$B$2:$B$9,"Unknown")</f>
        <v>Printer</v>
      </c>
      <c r="K44" t="str">
        <f>_xlfn.XLOOKUP(tblOrders[[#This Row],[ProductID]],Products!$A$2:$A$9,Products!$C$2:$C$9,"Unknown")</f>
        <v>Electronics</v>
      </c>
      <c r="L44">
        <f>_xlfn.XLOOKUP(tblOrders[[#This Row],[ProductID]],Products!$A$2:$A$9,Products!$D$2:$D$9,0)</f>
        <v>6200</v>
      </c>
      <c r="M44">
        <f>tblOrders[[#This Row],[Quantity]]*tblOrders[[#This Row],[UnitPrice]]*(1-tblOrders[[#This Row],[Discount]])</f>
        <v>24000</v>
      </c>
      <c r="N44">
        <f>tblOrders[[#This Row],[Quantity]]*tblOrders[[#This Row],[UnitCost]]</f>
        <v>18600</v>
      </c>
      <c r="O44">
        <f>tblOrders[[#This Row],[Revenue]]-tblOrders[[#This Row],[Cost]]</f>
        <v>5400</v>
      </c>
      <c r="P44" t="str">
        <f>TEXT(tblOrders[[#This Row],[OrderDate]],"mmm")</f>
        <v>Oct</v>
      </c>
    </row>
    <row r="45" spans="1:16" x14ac:dyDescent="0.25">
      <c r="A45" t="s">
        <v>619</v>
      </c>
      <c r="B45" s="2">
        <v>45678</v>
      </c>
      <c r="C45" t="s">
        <v>261</v>
      </c>
      <c r="D45" t="s">
        <v>21</v>
      </c>
      <c r="E45" t="s">
        <v>28</v>
      </c>
      <c r="F45" t="s">
        <v>23</v>
      </c>
      <c r="G45">
        <v>14</v>
      </c>
      <c r="H45">
        <v>900</v>
      </c>
      <c r="I45">
        <v>0</v>
      </c>
      <c r="J45" t="str">
        <f>_xlfn.XLOOKUP(tblOrders[[#This Row],[ProductID]],Products!$A$2:$A$9,Products!$B$2:$B$9,"Unknown")</f>
        <v>Keyboard</v>
      </c>
      <c r="K45" t="str">
        <f>_xlfn.XLOOKUP(tblOrders[[#This Row],[ProductID]],Products!$A$2:$A$9,Products!$C$2:$C$9,"Unknown")</f>
        <v>Accessories</v>
      </c>
      <c r="L45">
        <f>_xlfn.XLOOKUP(tblOrders[[#This Row],[ProductID]],Products!$A$2:$A$9,Products!$D$2:$D$9,0)</f>
        <v>600</v>
      </c>
      <c r="M45">
        <f>tblOrders[[#This Row],[Quantity]]*tblOrders[[#This Row],[UnitPrice]]*(1-tblOrders[[#This Row],[Discount]])</f>
        <v>12600</v>
      </c>
      <c r="N45">
        <f>tblOrders[[#This Row],[Quantity]]*tblOrders[[#This Row],[UnitCost]]</f>
        <v>8400</v>
      </c>
      <c r="O45">
        <f>tblOrders[[#This Row],[Revenue]]-tblOrders[[#This Row],[Cost]]</f>
        <v>4200</v>
      </c>
      <c r="P45" t="str">
        <f>TEXT(tblOrders[[#This Row],[OrderDate]],"mmm")</f>
        <v>Jan</v>
      </c>
    </row>
    <row r="46" spans="1:16" x14ac:dyDescent="0.25">
      <c r="A46" t="s">
        <v>397</v>
      </c>
      <c r="B46" s="2">
        <v>45899</v>
      </c>
      <c r="C46" t="s">
        <v>175</v>
      </c>
      <c r="D46" t="s">
        <v>16</v>
      </c>
      <c r="E46" t="s">
        <v>33</v>
      </c>
      <c r="F46" t="s">
        <v>55</v>
      </c>
      <c r="G46">
        <v>14</v>
      </c>
      <c r="H46">
        <v>8000</v>
      </c>
      <c r="I46">
        <v>0.05</v>
      </c>
      <c r="J46" t="str">
        <f>_xlfn.XLOOKUP(tblOrders[[#This Row],[ProductID]],Products!$A$2:$A$9,Products!$B$2:$B$9,"Unknown")</f>
        <v>Printer</v>
      </c>
      <c r="K46" t="str">
        <f>_xlfn.XLOOKUP(tblOrders[[#This Row],[ProductID]],Products!$A$2:$A$9,Products!$C$2:$C$9,"Unknown")</f>
        <v>Electronics</v>
      </c>
      <c r="L46">
        <f>_xlfn.XLOOKUP(tblOrders[[#This Row],[ProductID]],Products!$A$2:$A$9,Products!$D$2:$D$9,0)</f>
        <v>6200</v>
      </c>
      <c r="M46">
        <f>tblOrders[[#This Row],[Quantity]]*tblOrders[[#This Row],[UnitPrice]]*(1-tblOrders[[#This Row],[Discount]])</f>
        <v>106400</v>
      </c>
      <c r="N46">
        <f>tblOrders[[#This Row],[Quantity]]*tblOrders[[#This Row],[UnitCost]]</f>
        <v>86800</v>
      </c>
      <c r="O46">
        <f>tblOrders[[#This Row],[Revenue]]-tblOrders[[#This Row],[Cost]]</f>
        <v>19600</v>
      </c>
      <c r="P46" t="str">
        <f>TEXT(tblOrders[[#This Row],[OrderDate]],"mmm")</f>
        <v>Aug</v>
      </c>
    </row>
    <row r="47" spans="1:16" x14ac:dyDescent="0.25">
      <c r="A47" t="s">
        <v>341</v>
      </c>
      <c r="B47" s="2">
        <v>46002</v>
      </c>
      <c r="C47" t="s">
        <v>138</v>
      </c>
      <c r="D47" t="s">
        <v>16</v>
      </c>
      <c r="E47" t="s">
        <v>17</v>
      </c>
      <c r="F47" t="s">
        <v>43</v>
      </c>
      <c r="G47">
        <v>6</v>
      </c>
      <c r="H47">
        <v>1500</v>
      </c>
      <c r="I47">
        <v>0</v>
      </c>
      <c r="J47" t="str">
        <f>_xlfn.XLOOKUP(tblOrders[[#This Row],[ProductID]],Products!$A$2:$A$9,Products!$B$2:$B$9,"Unknown")</f>
        <v>Webcam</v>
      </c>
      <c r="K47" t="str">
        <f>_xlfn.XLOOKUP(tblOrders[[#This Row],[ProductID]],Products!$A$2:$A$9,Products!$C$2:$C$9,"Unknown")</f>
        <v>Accessories</v>
      </c>
      <c r="L47">
        <f>_xlfn.XLOOKUP(tblOrders[[#This Row],[ProductID]],Products!$A$2:$A$9,Products!$D$2:$D$9,0)</f>
        <v>980</v>
      </c>
      <c r="M47">
        <f>tblOrders[[#This Row],[Quantity]]*tblOrders[[#This Row],[UnitPrice]]*(1-tblOrders[[#This Row],[Discount]])</f>
        <v>9000</v>
      </c>
      <c r="N47">
        <f>tblOrders[[#This Row],[Quantity]]*tblOrders[[#This Row],[UnitCost]]</f>
        <v>5880</v>
      </c>
      <c r="O47">
        <f>tblOrders[[#This Row],[Revenue]]-tblOrders[[#This Row],[Cost]]</f>
        <v>3120</v>
      </c>
      <c r="P47" t="str">
        <f>TEXT(tblOrders[[#This Row],[OrderDate]],"mmm")</f>
        <v>Dec</v>
      </c>
    </row>
    <row r="48" spans="1:16" x14ac:dyDescent="0.25">
      <c r="A48" t="s">
        <v>1011</v>
      </c>
      <c r="B48" s="2">
        <v>45800</v>
      </c>
      <c r="C48" t="s">
        <v>171</v>
      </c>
      <c r="D48" t="s">
        <v>21</v>
      </c>
      <c r="E48" t="s">
        <v>22</v>
      </c>
      <c r="F48" t="s">
        <v>23</v>
      </c>
      <c r="G48">
        <v>10</v>
      </c>
      <c r="H48">
        <v>900</v>
      </c>
      <c r="I48">
        <v>0</v>
      </c>
      <c r="J48" t="str">
        <f>_xlfn.XLOOKUP(tblOrders[[#This Row],[ProductID]],Products!$A$2:$A$9,Products!$B$2:$B$9,"Unknown")</f>
        <v>Keyboard</v>
      </c>
      <c r="K48" t="str">
        <f>_xlfn.XLOOKUP(tblOrders[[#This Row],[ProductID]],Products!$A$2:$A$9,Products!$C$2:$C$9,"Unknown")</f>
        <v>Accessories</v>
      </c>
      <c r="L48">
        <f>_xlfn.XLOOKUP(tblOrders[[#This Row],[ProductID]],Products!$A$2:$A$9,Products!$D$2:$D$9,0)</f>
        <v>600</v>
      </c>
      <c r="M48">
        <f>tblOrders[[#This Row],[Quantity]]*tblOrders[[#This Row],[UnitPrice]]*(1-tblOrders[[#This Row],[Discount]])</f>
        <v>9000</v>
      </c>
      <c r="N48">
        <f>tblOrders[[#This Row],[Quantity]]*tblOrders[[#This Row],[UnitCost]]</f>
        <v>6000</v>
      </c>
      <c r="O48">
        <f>tblOrders[[#This Row],[Revenue]]-tblOrders[[#This Row],[Cost]]</f>
        <v>3000</v>
      </c>
      <c r="P48" t="str">
        <f>TEXT(tblOrders[[#This Row],[OrderDate]],"mmm")</f>
        <v>May</v>
      </c>
    </row>
    <row r="49" spans="1:16" x14ac:dyDescent="0.25">
      <c r="A49" t="s">
        <v>60</v>
      </c>
      <c r="B49" s="2">
        <v>45986</v>
      </c>
      <c r="C49" t="s">
        <v>61</v>
      </c>
      <c r="D49" t="s">
        <v>11</v>
      </c>
      <c r="E49" t="s">
        <v>46</v>
      </c>
      <c r="F49" t="s">
        <v>13</v>
      </c>
      <c r="G49">
        <v>8</v>
      </c>
      <c r="H49">
        <v>2000</v>
      </c>
      <c r="I49">
        <v>0</v>
      </c>
      <c r="J49" t="str">
        <f>_xlfn.XLOOKUP(tblOrders[[#This Row],[ProductID]],Products!$A$2:$A$9,Products!$B$2:$B$9,"Unknown")</f>
        <v>Headset</v>
      </c>
      <c r="K49" t="str">
        <f>_xlfn.XLOOKUP(tblOrders[[#This Row],[ProductID]],Products!$A$2:$A$9,Products!$C$2:$C$9,"Unknown")</f>
        <v>Accessories</v>
      </c>
      <c r="L49">
        <f>_xlfn.XLOOKUP(tblOrders[[#This Row],[ProductID]],Products!$A$2:$A$9,Products!$D$2:$D$9,0)</f>
        <v>1300</v>
      </c>
      <c r="M49">
        <f>tblOrders[[#This Row],[Quantity]]*tblOrders[[#This Row],[UnitPrice]]*(1-tblOrders[[#This Row],[Discount]])</f>
        <v>16000</v>
      </c>
      <c r="N49">
        <f>tblOrders[[#This Row],[Quantity]]*tblOrders[[#This Row],[UnitCost]]</f>
        <v>10400</v>
      </c>
      <c r="O49">
        <f>tblOrders[[#This Row],[Revenue]]-tblOrders[[#This Row],[Cost]]</f>
        <v>5600</v>
      </c>
      <c r="P49" t="str">
        <f>TEXT(tblOrders[[#This Row],[OrderDate]],"mmm")</f>
        <v>Nov</v>
      </c>
    </row>
    <row r="50" spans="1:16" x14ac:dyDescent="0.25">
      <c r="A50" t="s">
        <v>336</v>
      </c>
      <c r="B50" s="2">
        <v>45779</v>
      </c>
      <c r="C50" t="s">
        <v>59</v>
      </c>
      <c r="D50" t="s">
        <v>11</v>
      </c>
      <c r="E50" t="s">
        <v>12</v>
      </c>
      <c r="F50" t="s">
        <v>34</v>
      </c>
      <c r="G50">
        <v>11</v>
      </c>
      <c r="H50">
        <v>55000</v>
      </c>
      <c r="I50">
        <v>0</v>
      </c>
      <c r="J50" t="str">
        <f>_xlfn.XLOOKUP(tblOrders[[#This Row],[ProductID]],Products!$A$2:$A$9,Products!$B$2:$B$9,"Unknown")</f>
        <v>Laptop</v>
      </c>
      <c r="K50" t="str">
        <f>_xlfn.XLOOKUP(tblOrders[[#This Row],[ProductID]],Products!$A$2:$A$9,Products!$C$2:$C$9,"Unknown")</f>
        <v>Electronics</v>
      </c>
      <c r="L50">
        <f>_xlfn.XLOOKUP(tblOrders[[#This Row],[ProductID]],Products!$A$2:$A$9,Products!$D$2:$D$9,0)</f>
        <v>41000</v>
      </c>
      <c r="M50">
        <f>tblOrders[[#This Row],[Quantity]]*tblOrders[[#This Row],[UnitPrice]]*(1-tblOrders[[#This Row],[Discount]])</f>
        <v>605000</v>
      </c>
      <c r="N50">
        <f>tblOrders[[#This Row],[Quantity]]*tblOrders[[#This Row],[UnitCost]]</f>
        <v>451000</v>
      </c>
      <c r="O50">
        <f>tblOrders[[#This Row],[Revenue]]-tblOrders[[#This Row],[Cost]]</f>
        <v>154000</v>
      </c>
      <c r="P50" t="str">
        <f>TEXT(tblOrders[[#This Row],[OrderDate]],"mmm")</f>
        <v>May</v>
      </c>
    </row>
    <row r="51" spans="1:16" x14ac:dyDescent="0.25">
      <c r="A51" t="s">
        <v>296</v>
      </c>
      <c r="B51" s="2">
        <v>45980</v>
      </c>
      <c r="C51" t="s">
        <v>121</v>
      </c>
      <c r="D51" t="s">
        <v>16</v>
      </c>
      <c r="E51" t="s">
        <v>33</v>
      </c>
      <c r="F51" t="s">
        <v>18</v>
      </c>
      <c r="G51">
        <v>11</v>
      </c>
      <c r="H51">
        <v>18000</v>
      </c>
      <c r="I51">
        <v>0</v>
      </c>
      <c r="J51" t="str">
        <f>_xlfn.XLOOKUP(tblOrders[[#This Row],[ProductID]],Products!$A$2:$A$9,Products!$B$2:$B$9,"Unknown")</f>
        <v>Tablet</v>
      </c>
      <c r="K51" t="str">
        <f>_xlfn.XLOOKUP(tblOrders[[#This Row],[ProductID]],Products!$A$2:$A$9,Products!$C$2:$C$9,"Unknown")</f>
        <v>Electronics</v>
      </c>
      <c r="L51">
        <f>_xlfn.XLOOKUP(tblOrders[[#This Row],[ProductID]],Products!$A$2:$A$9,Products!$D$2:$D$9,0)</f>
        <v>13500</v>
      </c>
      <c r="M51">
        <f>tblOrders[[#This Row],[Quantity]]*tblOrders[[#This Row],[UnitPrice]]*(1-tblOrders[[#This Row],[Discount]])</f>
        <v>198000</v>
      </c>
      <c r="N51">
        <f>tblOrders[[#This Row],[Quantity]]*tblOrders[[#This Row],[UnitCost]]</f>
        <v>148500</v>
      </c>
      <c r="O51">
        <f>tblOrders[[#This Row],[Revenue]]-tblOrders[[#This Row],[Cost]]</f>
        <v>49500</v>
      </c>
      <c r="P51" t="str">
        <f>TEXT(tblOrders[[#This Row],[OrderDate]],"mmm")</f>
        <v>Nov</v>
      </c>
    </row>
    <row r="52" spans="1:16" x14ac:dyDescent="0.25">
      <c r="A52" t="s">
        <v>307</v>
      </c>
      <c r="B52" s="2">
        <v>45789</v>
      </c>
      <c r="C52" t="s">
        <v>105</v>
      </c>
      <c r="D52" t="s">
        <v>11</v>
      </c>
      <c r="E52" t="s">
        <v>12</v>
      </c>
      <c r="F52" t="s">
        <v>34</v>
      </c>
      <c r="G52">
        <v>13</v>
      </c>
      <c r="H52">
        <v>55000</v>
      </c>
      <c r="I52">
        <v>0.05</v>
      </c>
      <c r="J52" t="str">
        <f>_xlfn.XLOOKUP(tblOrders[[#This Row],[ProductID]],Products!$A$2:$A$9,Products!$B$2:$B$9,"Unknown")</f>
        <v>Laptop</v>
      </c>
      <c r="K52" t="str">
        <f>_xlfn.XLOOKUP(tblOrders[[#This Row],[ProductID]],Products!$A$2:$A$9,Products!$C$2:$C$9,"Unknown")</f>
        <v>Electronics</v>
      </c>
      <c r="L52">
        <f>_xlfn.XLOOKUP(tblOrders[[#This Row],[ProductID]],Products!$A$2:$A$9,Products!$D$2:$D$9,0)</f>
        <v>41000</v>
      </c>
      <c r="M52">
        <f>tblOrders[[#This Row],[Quantity]]*tblOrders[[#This Row],[UnitPrice]]*(1-tblOrders[[#This Row],[Discount]])</f>
        <v>679250</v>
      </c>
      <c r="N52">
        <f>tblOrders[[#This Row],[Quantity]]*tblOrders[[#This Row],[UnitCost]]</f>
        <v>533000</v>
      </c>
      <c r="O52">
        <f>tblOrders[[#This Row],[Revenue]]-tblOrders[[#This Row],[Cost]]</f>
        <v>146250</v>
      </c>
      <c r="P52" t="str">
        <f>TEXT(tblOrders[[#This Row],[OrderDate]],"mmm")</f>
        <v>May</v>
      </c>
    </row>
    <row r="53" spans="1:16" x14ac:dyDescent="0.25">
      <c r="A53" t="s">
        <v>973</v>
      </c>
      <c r="B53" s="2">
        <v>45749</v>
      </c>
      <c r="C53" t="s">
        <v>105</v>
      </c>
      <c r="D53" t="s">
        <v>11</v>
      </c>
      <c r="E53" t="s">
        <v>12</v>
      </c>
      <c r="F53" t="s">
        <v>23</v>
      </c>
      <c r="G53">
        <v>13</v>
      </c>
      <c r="H53">
        <v>900</v>
      </c>
      <c r="I53">
        <v>0</v>
      </c>
      <c r="J53" t="str">
        <f>_xlfn.XLOOKUP(tblOrders[[#This Row],[ProductID]],Products!$A$2:$A$9,Products!$B$2:$B$9,"Unknown")</f>
        <v>Keyboard</v>
      </c>
      <c r="K53" t="str">
        <f>_xlfn.XLOOKUP(tblOrders[[#This Row],[ProductID]],Products!$A$2:$A$9,Products!$C$2:$C$9,"Unknown")</f>
        <v>Accessories</v>
      </c>
      <c r="L53">
        <f>_xlfn.XLOOKUP(tblOrders[[#This Row],[ProductID]],Products!$A$2:$A$9,Products!$D$2:$D$9,0)</f>
        <v>600</v>
      </c>
      <c r="M53">
        <f>tblOrders[[#This Row],[Quantity]]*tblOrders[[#This Row],[UnitPrice]]*(1-tblOrders[[#This Row],[Discount]])</f>
        <v>11700</v>
      </c>
      <c r="N53">
        <f>tblOrders[[#This Row],[Quantity]]*tblOrders[[#This Row],[UnitCost]]</f>
        <v>7800</v>
      </c>
      <c r="O53">
        <f>tblOrders[[#This Row],[Revenue]]-tblOrders[[#This Row],[Cost]]</f>
        <v>3900</v>
      </c>
      <c r="P53" t="str">
        <f>TEXT(tblOrders[[#This Row],[OrderDate]],"mmm")</f>
        <v>Apr</v>
      </c>
    </row>
    <row r="54" spans="1:16" x14ac:dyDescent="0.25">
      <c r="A54" t="s">
        <v>1040</v>
      </c>
      <c r="B54" s="2">
        <v>45859</v>
      </c>
      <c r="C54" t="s">
        <v>175</v>
      </c>
      <c r="D54" t="s">
        <v>11</v>
      </c>
      <c r="E54" t="s">
        <v>12</v>
      </c>
      <c r="F54" t="s">
        <v>18</v>
      </c>
      <c r="G54">
        <v>7</v>
      </c>
      <c r="H54">
        <v>18000</v>
      </c>
      <c r="I54">
        <v>0.15</v>
      </c>
      <c r="J54" t="str">
        <f>_xlfn.XLOOKUP(tblOrders[[#This Row],[ProductID]],Products!$A$2:$A$9,Products!$B$2:$B$9,"Unknown")</f>
        <v>Tablet</v>
      </c>
      <c r="K54" t="str">
        <f>_xlfn.XLOOKUP(tblOrders[[#This Row],[ProductID]],Products!$A$2:$A$9,Products!$C$2:$C$9,"Unknown")</f>
        <v>Electronics</v>
      </c>
      <c r="L54">
        <f>_xlfn.XLOOKUP(tblOrders[[#This Row],[ProductID]],Products!$A$2:$A$9,Products!$D$2:$D$9,0)</f>
        <v>13500</v>
      </c>
      <c r="M54">
        <f>tblOrders[[#This Row],[Quantity]]*tblOrders[[#This Row],[UnitPrice]]*(1-tblOrders[[#This Row],[Discount]])</f>
        <v>107100</v>
      </c>
      <c r="N54">
        <f>tblOrders[[#This Row],[Quantity]]*tblOrders[[#This Row],[UnitCost]]</f>
        <v>94500</v>
      </c>
      <c r="O54">
        <f>tblOrders[[#This Row],[Revenue]]-tblOrders[[#This Row],[Cost]]</f>
        <v>12600</v>
      </c>
      <c r="P54" t="str">
        <f>TEXT(tblOrders[[#This Row],[OrderDate]],"mmm")</f>
        <v>Jul</v>
      </c>
    </row>
    <row r="55" spans="1:16" x14ac:dyDescent="0.25">
      <c r="A55" t="s">
        <v>268</v>
      </c>
      <c r="B55" s="2">
        <v>45888</v>
      </c>
      <c r="C55" t="s">
        <v>175</v>
      </c>
      <c r="D55" t="s">
        <v>39</v>
      </c>
      <c r="E55" t="s">
        <v>76</v>
      </c>
      <c r="F55" t="s">
        <v>55</v>
      </c>
      <c r="G55">
        <v>11</v>
      </c>
      <c r="H55">
        <v>8000</v>
      </c>
      <c r="I55">
        <v>0</v>
      </c>
      <c r="J55" t="str">
        <f>_xlfn.XLOOKUP(tblOrders[[#This Row],[ProductID]],Products!$A$2:$A$9,Products!$B$2:$B$9,"Unknown")</f>
        <v>Printer</v>
      </c>
      <c r="K55" t="str">
        <f>_xlfn.XLOOKUP(tblOrders[[#This Row],[ProductID]],Products!$A$2:$A$9,Products!$C$2:$C$9,"Unknown")</f>
        <v>Electronics</v>
      </c>
      <c r="L55">
        <f>_xlfn.XLOOKUP(tblOrders[[#This Row],[ProductID]],Products!$A$2:$A$9,Products!$D$2:$D$9,0)</f>
        <v>6200</v>
      </c>
      <c r="M55">
        <f>tblOrders[[#This Row],[Quantity]]*tblOrders[[#This Row],[UnitPrice]]*(1-tblOrders[[#This Row],[Discount]])</f>
        <v>88000</v>
      </c>
      <c r="N55">
        <f>tblOrders[[#This Row],[Quantity]]*tblOrders[[#This Row],[UnitCost]]</f>
        <v>68200</v>
      </c>
      <c r="O55">
        <f>tblOrders[[#This Row],[Revenue]]-tblOrders[[#This Row],[Cost]]</f>
        <v>19800</v>
      </c>
      <c r="P55" t="str">
        <f>TEXT(tblOrders[[#This Row],[OrderDate]],"mmm")</f>
        <v>Aug</v>
      </c>
    </row>
    <row r="56" spans="1:16" x14ac:dyDescent="0.25">
      <c r="A56" t="s">
        <v>122</v>
      </c>
      <c r="B56" s="2">
        <v>45895</v>
      </c>
      <c r="C56" t="s">
        <v>123</v>
      </c>
      <c r="D56" t="s">
        <v>16</v>
      </c>
      <c r="E56" t="s">
        <v>17</v>
      </c>
      <c r="F56" t="s">
        <v>55</v>
      </c>
      <c r="G56">
        <v>2</v>
      </c>
      <c r="H56">
        <v>8000</v>
      </c>
      <c r="I56">
        <v>0.15</v>
      </c>
      <c r="J56" t="str">
        <f>_xlfn.XLOOKUP(tblOrders[[#This Row],[ProductID]],Products!$A$2:$A$9,Products!$B$2:$B$9,"Unknown")</f>
        <v>Printer</v>
      </c>
      <c r="K56" t="str">
        <f>_xlfn.XLOOKUP(tblOrders[[#This Row],[ProductID]],Products!$A$2:$A$9,Products!$C$2:$C$9,"Unknown")</f>
        <v>Electronics</v>
      </c>
      <c r="L56">
        <f>_xlfn.XLOOKUP(tblOrders[[#This Row],[ProductID]],Products!$A$2:$A$9,Products!$D$2:$D$9,0)</f>
        <v>6200</v>
      </c>
      <c r="M56">
        <f>tblOrders[[#This Row],[Quantity]]*tblOrders[[#This Row],[UnitPrice]]*(1-tblOrders[[#This Row],[Discount]])</f>
        <v>13600</v>
      </c>
      <c r="N56">
        <f>tblOrders[[#This Row],[Quantity]]*tblOrders[[#This Row],[UnitCost]]</f>
        <v>12400</v>
      </c>
      <c r="O56">
        <f>tblOrders[[#This Row],[Revenue]]-tblOrders[[#This Row],[Cost]]</f>
        <v>1200</v>
      </c>
      <c r="P56" t="str">
        <f>TEXT(tblOrders[[#This Row],[OrderDate]],"mmm")</f>
        <v>Aug</v>
      </c>
    </row>
    <row r="57" spans="1:16" x14ac:dyDescent="0.25">
      <c r="A57" t="s">
        <v>210</v>
      </c>
      <c r="B57" s="2">
        <v>45767</v>
      </c>
      <c r="C57" t="s">
        <v>105</v>
      </c>
      <c r="D57" t="s">
        <v>11</v>
      </c>
      <c r="E57" t="s">
        <v>46</v>
      </c>
      <c r="F57" t="s">
        <v>13</v>
      </c>
      <c r="G57">
        <v>2</v>
      </c>
      <c r="H57">
        <v>2000</v>
      </c>
      <c r="I57">
        <v>0</v>
      </c>
      <c r="J57" t="str">
        <f>_xlfn.XLOOKUP(tblOrders[[#This Row],[ProductID]],Products!$A$2:$A$9,Products!$B$2:$B$9,"Unknown")</f>
        <v>Headset</v>
      </c>
      <c r="K57" t="str">
        <f>_xlfn.XLOOKUP(tblOrders[[#This Row],[ProductID]],Products!$A$2:$A$9,Products!$C$2:$C$9,"Unknown")</f>
        <v>Accessories</v>
      </c>
      <c r="L57">
        <f>_xlfn.XLOOKUP(tblOrders[[#This Row],[ProductID]],Products!$A$2:$A$9,Products!$D$2:$D$9,0)</f>
        <v>1300</v>
      </c>
      <c r="M57">
        <f>tblOrders[[#This Row],[Quantity]]*tblOrders[[#This Row],[UnitPrice]]*(1-tblOrders[[#This Row],[Discount]])</f>
        <v>4000</v>
      </c>
      <c r="N57">
        <f>tblOrders[[#This Row],[Quantity]]*tblOrders[[#This Row],[UnitCost]]</f>
        <v>2600</v>
      </c>
      <c r="O57">
        <f>tblOrders[[#This Row],[Revenue]]-tblOrders[[#This Row],[Cost]]</f>
        <v>1400</v>
      </c>
      <c r="P57" t="str">
        <f>TEXT(tblOrders[[#This Row],[OrderDate]],"mmm")</f>
        <v>Apr</v>
      </c>
    </row>
    <row r="58" spans="1:16" x14ac:dyDescent="0.25">
      <c r="A58" t="s">
        <v>1002</v>
      </c>
      <c r="B58" s="2">
        <v>45792</v>
      </c>
      <c r="C58" t="s">
        <v>10</v>
      </c>
      <c r="D58" t="s">
        <v>21</v>
      </c>
      <c r="E58" t="s">
        <v>28</v>
      </c>
      <c r="F58" t="s">
        <v>64</v>
      </c>
      <c r="G58">
        <v>9</v>
      </c>
      <c r="H58">
        <v>500</v>
      </c>
      <c r="I58">
        <v>0</v>
      </c>
      <c r="J58" t="str">
        <f>_xlfn.XLOOKUP(tblOrders[[#This Row],[ProductID]],Products!$A$2:$A$9,Products!$B$2:$B$9,"Unknown")</f>
        <v>Mouse</v>
      </c>
      <c r="K58" t="str">
        <f>_xlfn.XLOOKUP(tblOrders[[#This Row],[ProductID]],Products!$A$2:$A$9,Products!$C$2:$C$9,"Unknown")</f>
        <v>Accessories</v>
      </c>
      <c r="L58">
        <f>_xlfn.XLOOKUP(tblOrders[[#This Row],[ProductID]],Products!$A$2:$A$9,Products!$D$2:$D$9,0)</f>
        <v>320</v>
      </c>
      <c r="M58">
        <f>tblOrders[[#This Row],[Quantity]]*tblOrders[[#This Row],[UnitPrice]]*(1-tblOrders[[#This Row],[Discount]])</f>
        <v>4500</v>
      </c>
      <c r="N58">
        <f>tblOrders[[#This Row],[Quantity]]*tblOrders[[#This Row],[UnitCost]]</f>
        <v>2880</v>
      </c>
      <c r="O58">
        <f>tblOrders[[#This Row],[Revenue]]-tblOrders[[#This Row],[Cost]]</f>
        <v>1620</v>
      </c>
      <c r="P58" t="str">
        <f>TEXT(tblOrders[[#This Row],[OrderDate]],"mmm")</f>
        <v>May</v>
      </c>
    </row>
    <row r="59" spans="1:16" x14ac:dyDescent="0.25">
      <c r="A59" t="s">
        <v>741</v>
      </c>
      <c r="B59" s="2">
        <v>45833</v>
      </c>
      <c r="C59" t="s">
        <v>97</v>
      </c>
      <c r="D59" t="s">
        <v>39</v>
      </c>
      <c r="E59" t="s">
        <v>40</v>
      </c>
      <c r="F59" t="s">
        <v>23</v>
      </c>
      <c r="G59">
        <v>8</v>
      </c>
      <c r="H59">
        <v>900</v>
      </c>
      <c r="I59">
        <v>0</v>
      </c>
      <c r="J59" t="str">
        <f>_xlfn.XLOOKUP(tblOrders[[#This Row],[ProductID]],Products!$A$2:$A$9,Products!$B$2:$B$9,"Unknown")</f>
        <v>Keyboard</v>
      </c>
      <c r="K59" t="str">
        <f>_xlfn.XLOOKUP(tblOrders[[#This Row],[ProductID]],Products!$A$2:$A$9,Products!$C$2:$C$9,"Unknown")</f>
        <v>Accessories</v>
      </c>
      <c r="L59">
        <f>_xlfn.XLOOKUP(tblOrders[[#This Row],[ProductID]],Products!$A$2:$A$9,Products!$D$2:$D$9,0)</f>
        <v>600</v>
      </c>
      <c r="M59">
        <f>tblOrders[[#This Row],[Quantity]]*tblOrders[[#This Row],[UnitPrice]]*(1-tblOrders[[#This Row],[Discount]])</f>
        <v>7200</v>
      </c>
      <c r="N59">
        <f>tblOrders[[#This Row],[Quantity]]*tblOrders[[#This Row],[UnitCost]]</f>
        <v>4800</v>
      </c>
      <c r="O59">
        <f>tblOrders[[#This Row],[Revenue]]-tblOrders[[#This Row],[Cost]]</f>
        <v>2400</v>
      </c>
      <c r="P59" t="str">
        <f>TEXT(tblOrders[[#This Row],[OrderDate]],"mmm")</f>
        <v>Jun</v>
      </c>
    </row>
    <row r="60" spans="1:16" x14ac:dyDescent="0.25">
      <c r="A60" t="s">
        <v>617</v>
      </c>
      <c r="B60" s="2">
        <v>45877</v>
      </c>
      <c r="C60" t="s">
        <v>85</v>
      </c>
      <c r="D60" t="s">
        <v>21</v>
      </c>
      <c r="E60" t="s">
        <v>22</v>
      </c>
      <c r="F60" t="s">
        <v>69</v>
      </c>
      <c r="G60">
        <v>9</v>
      </c>
      <c r="H60">
        <v>12000</v>
      </c>
      <c r="I60">
        <v>0</v>
      </c>
      <c r="J60" t="str">
        <f>_xlfn.XLOOKUP(tblOrders[[#This Row],[ProductID]],Products!$A$2:$A$9,Products!$B$2:$B$9,"Unknown")</f>
        <v>Monitor</v>
      </c>
      <c r="K60" t="str">
        <f>_xlfn.XLOOKUP(tblOrders[[#This Row],[ProductID]],Products!$A$2:$A$9,Products!$C$2:$C$9,"Unknown")</f>
        <v>Electronics</v>
      </c>
      <c r="L60">
        <f>_xlfn.XLOOKUP(tblOrders[[#This Row],[ProductID]],Products!$A$2:$A$9,Products!$D$2:$D$9,0)</f>
        <v>9000</v>
      </c>
      <c r="M60">
        <f>tblOrders[[#This Row],[Quantity]]*tblOrders[[#This Row],[UnitPrice]]*(1-tblOrders[[#This Row],[Discount]])</f>
        <v>108000</v>
      </c>
      <c r="N60">
        <f>tblOrders[[#This Row],[Quantity]]*tblOrders[[#This Row],[UnitCost]]</f>
        <v>81000</v>
      </c>
      <c r="O60">
        <f>tblOrders[[#This Row],[Revenue]]-tblOrders[[#This Row],[Cost]]</f>
        <v>27000</v>
      </c>
      <c r="P60" t="str">
        <f>TEXT(tblOrders[[#This Row],[OrderDate]],"mmm")</f>
        <v>Aug</v>
      </c>
    </row>
    <row r="61" spans="1:16" x14ac:dyDescent="0.25">
      <c r="A61" t="s">
        <v>849</v>
      </c>
      <c r="B61" s="2">
        <v>45898</v>
      </c>
      <c r="C61" t="s">
        <v>82</v>
      </c>
      <c r="D61" t="s">
        <v>11</v>
      </c>
      <c r="E61" t="s">
        <v>12</v>
      </c>
      <c r="F61" t="s">
        <v>43</v>
      </c>
      <c r="G61">
        <v>15</v>
      </c>
      <c r="H61">
        <v>1500</v>
      </c>
      <c r="I61">
        <v>0.05</v>
      </c>
      <c r="J61" t="str">
        <f>_xlfn.XLOOKUP(tblOrders[[#This Row],[ProductID]],Products!$A$2:$A$9,Products!$B$2:$B$9,"Unknown")</f>
        <v>Webcam</v>
      </c>
      <c r="K61" t="str">
        <f>_xlfn.XLOOKUP(tblOrders[[#This Row],[ProductID]],Products!$A$2:$A$9,Products!$C$2:$C$9,"Unknown")</f>
        <v>Accessories</v>
      </c>
      <c r="L61">
        <f>_xlfn.XLOOKUP(tblOrders[[#This Row],[ProductID]],Products!$A$2:$A$9,Products!$D$2:$D$9,0)</f>
        <v>980</v>
      </c>
      <c r="M61">
        <f>tblOrders[[#This Row],[Quantity]]*tblOrders[[#This Row],[UnitPrice]]*(1-tblOrders[[#This Row],[Discount]])</f>
        <v>21375</v>
      </c>
      <c r="N61">
        <f>tblOrders[[#This Row],[Quantity]]*tblOrders[[#This Row],[UnitCost]]</f>
        <v>14700</v>
      </c>
      <c r="O61">
        <f>tblOrders[[#This Row],[Revenue]]-tblOrders[[#This Row],[Cost]]</f>
        <v>6675</v>
      </c>
      <c r="P61" t="str">
        <f>TEXT(tblOrders[[#This Row],[OrderDate]],"mmm")</f>
        <v>Aug</v>
      </c>
    </row>
    <row r="62" spans="1:16" x14ac:dyDescent="0.25">
      <c r="A62" t="s">
        <v>946</v>
      </c>
      <c r="B62" s="2">
        <v>45771</v>
      </c>
      <c r="C62" t="s">
        <v>36</v>
      </c>
      <c r="D62" t="s">
        <v>39</v>
      </c>
      <c r="E62" t="s">
        <v>40</v>
      </c>
      <c r="F62" t="s">
        <v>23</v>
      </c>
      <c r="G62">
        <v>14</v>
      </c>
      <c r="H62">
        <v>900</v>
      </c>
      <c r="I62">
        <v>0.15</v>
      </c>
      <c r="J62" t="str">
        <f>_xlfn.XLOOKUP(tblOrders[[#This Row],[ProductID]],Products!$A$2:$A$9,Products!$B$2:$B$9,"Unknown")</f>
        <v>Keyboard</v>
      </c>
      <c r="K62" t="str">
        <f>_xlfn.XLOOKUP(tblOrders[[#This Row],[ProductID]],Products!$A$2:$A$9,Products!$C$2:$C$9,"Unknown")</f>
        <v>Accessories</v>
      </c>
      <c r="L62">
        <f>_xlfn.XLOOKUP(tblOrders[[#This Row],[ProductID]],Products!$A$2:$A$9,Products!$D$2:$D$9,0)</f>
        <v>600</v>
      </c>
      <c r="M62">
        <f>tblOrders[[#This Row],[Quantity]]*tblOrders[[#This Row],[UnitPrice]]*(1-tblOrders[[#This Row],[Discount]])</f>
        <v>10710</v>
      </c>
      <c r="N62">
        <f>tblOrders[[#This Row],[Quantity]]*tblOrders[[#This Row],[UnitCost]]</f>
        <v>8400</v>
      </c>
      <c r="O62">
        <f>tblOrders[[#This Row],[Revenue]]-tblOrders[[#This Row],[Cost]]</f>
        <v>2310</v>
      </c>
      <c r="P62" t="str">
        <f>TEXT(tblOrders[[#This Row],[OrderDate]],"mmm")</f>
        <v>Apr</v>
      </c>
    </row>
    <row r="63" spans="1:16" x14ac:dyDescent="0.25">
      <c r="A63" t="s">
        <v>648</v>
      </c>
      <c r="B63" s="2">
        <v>45925</v>
      </c>
      <c r="C63" t="s">
        <v>48</v>
      </c>
      <c r="D63" t="s">
        <v>16</v>
      </c>
      <c r="E63" t="s">
        <v>17</v>
      </c>
      <c r="F63" t="s">
        <v>23</v>
      </c>
      <c r="G63">
        <v>11</v>
      </c>
      <c r="H63">
        <v>900</v>
      </c>
      <c r="I63">
        <v>0.05</v>
      </c>
      <c r="J63" t="str">
        <f>_xlfn.XLOOKUP(tblOrders[[#This Row],[ProductID]],Products!$A$2:$A$9,Products!$B$2:$B$9,"Unknown")</f>
        <v>Keyboard</v>
      </c>
      <c r="K63" t="str">
        <f>_xlfn.XLOOKUP(tblOrders[[#This Row],[ProductID]],Products!$A$2:$A$9,Products!$C$2:$C$9,"Unknown")</f>
        <v>Accessories</v>
      </c>
      <c r="L63">
        <f>_xlfn.XLOOKUP(tblOrders[[#This Row],[ProductID]],Products!$A$2:$A$9,Products!$D$2:$D$9,0)</f>
        <v>600</v>
      </c>
      <c r="M63">
        <f>tblOrders[[#This Row],[Quantity]]*tblOrders[[#This Row],[UnitPrice]]*(1-tblOrders[[#This Row],[Discount]])</f>
        <v>9405</v>
      </c>
      <c r="N63">
        <f>tblOrders[[#This Row],[Quantity]]*tblOrders[[#This Row],[UnitCost]]</f>
        <v>6600</v>
      </c>
      <c r="O63">
        <f>tblOrders[[#This Row],[Revenue]]-tblOrders[[#This Row],[Cost]]</f>
        <v>2805</v>
      </c>
      <c r="P63" t="str">
        <f>TEXT(tblOrders[[#This Row],[OrderDate]],"mmm")</f>
        <v>Sep</v>
      </c>
    </row>
    <row r="64" spans="1:16" x14ac:dyDescent="0.25">
      <c r="A64" t="s">
        <v>262</v>
      </c>
      <c r="B64" s="2">
        <v>45813</v>
      </c>
      <c r="C64" t="s">
        <v>121</v>
      </c>
      <c r="D64" t="s">
        <v>11</v>
      </c>
      <c r="E64" t="s">
        <v>46</v>
      </c>
      <c r="F64" t="s">
        <v>23</v>
      </c>
      <c r="G64">
        <v>10</v>
      </c>
      <c r="H64">
        <v>900</v>
      </c>
      <c r="I64">
        <v>0.05</v>
      </c>
      <c r="J64" t="str">
        <f>_xlfn.XLOOKUP(tblOrders[[#This Row],[ProductID]],Products!$A$2:$A$9,Products!$B$2:$B$9,"Unknown")</f>
        <v>Keyboard</v>
      </c>
      <c r="K64" t="str">
        <f>_xlfn.XLOOKUP(tblOrders[[#This Row],[ProductID]],Products!$A$2:$A$9,Products!$C$2:$C$9,"Unknown")</f>
        <v>Accessories</v>
      </c>
      <c r="L64">
        <f>_xlfn.XLOOKUP(tblOrders[[#This Row],[ProductID]],Products!$A$2:$A$9,Products!$D$2:$D$9,0)</f>
        <v>600</v>
      </c>
      <c r="M64">
        <f>tblOrders[[#This Row],[Quantity]]*tblOrders[[#This Row],[UnitPrice]]*(1-tblOrders[[#This Row],[Discount]])</f>
        <v>8550</v>
      </c>
      <c r="N64">
        <f>tblOrders[[#This Row],[Quantity]]*tblOrders[[#This Row],[UnitCost]]</f>
        <v>6000</v>
      </c>
      <c r="O64">
        <f>tblOrders[[#This Row],[Revenue]]-tblOrders[[#This Row],[Cost]]</f>
        <v>2550</v>
      </c>
      <c r="P64" t="str">
        <f>TEXT(tblOrders[[#This Row],[OrderDate]],"mmm")</f>
        <v>Jun</v>
      </c>
    </row>
    <row r="65" spans="1:16" x14ac:dyDescent="0.25">
      <c r="A65" t="s">
        <v>680</v>
      </c>
      <c r="B65" s="2">
        <v>45932</v>
      </c>
      <c r="C65" t="s">
        <v>61</v>
      </c>
      <c r="D65" t="s">
        <v>21</v>
      </c>
      <c r="E65" t="s">
        <v>22</v>
      </c>
      <c r="F65" t="s">
        <v>34</v>
      </c>
      <c r="G65">
        <v>10</v>
      </c>
      <c r="H65">
        <v>55000</v>
      </c>
      <c r="I65">
        <v>0.05</v>
      </c>
      <c r="J65" t="str">
        <f>_xlfn.XLOOKUP(tblOrders[[#This Row],[ProductID]],Products!$A$2:$A$9,Products!$B$2:$B$9,"Unknown")</f>
        <v>Laptop</v>
      </c>
      <c r="K65" t="str">
        <f>_xlfn.XLOOKUP(tblOrders[[#This Row],[ProductID]],Products!$A$2:$A$9,Products!$C$2:$C$9,"Unknown")</f>
        <v>Electronics</v>
      </c>
      <c r="L65">
        <f>_xlfn.XLOOKUP(tblOrders[[#This Row],[ProductID]],Products!$A$2:$A$9,Products!$D$2:$D$9,0)</f>
        <v>41000</v>
      </c>
      <c r="M65">
        <f>tblOrders[[#This Row],[Quantity]]*tblOrders[[#This Row],[UnitPrice]]*(1-tblOrders[[#This Row],[Discount]])</f>
        <v>522500</v>
      </c>
      <c r="N65">
        <f>tblOrders[[#This Row],[Quantity]]*tblOrders[[#This Row],[UnitCost]]</f>
        <v>410000</v>
      </c>
      <c r="O65">
        <f>tblOrders[[#This Row],[Revenue]]-tblOrders[[#This Row],[Cost]]</f>
        <v>112500</v>
      </c>
      <c r="P65" t="str">
        <f>TEXT(tblOrders[[#This Row],[OrderDate]],"mmm")</f>
        <v>Oct</v>
      </c>
    </row>
    <row r="66" spans="1:16" x14ac:dyDescent="0.25">
      <c r="A66" t="s">
        <v>124</v>
      </c>
      <c r="B66" s="2">
        <v>45922</v>
      </c>
      <c r="C66" t="s">
        <v>115</v>
      </c>
      <c r="D66" t="s">
        <v>39</v>
      </c>
      <c r="E66" t="s">
        <v>40</v>
      </c>
      <c r="F66" t="s">
        <v>18</v>
      </c>
      <c r="G66">
        <v>8</v>
      </c>
      <c r="H66">
        <v>18000</v>
      </c>
      <c r="I66">
        <v>0</v>
      </c>
      <c r="J66" t="str">
        <f>_xlfn.XLOOKUP(tblOrders[[#This Row],[ProductID]],Products!$A$2:$A$9,Products!$B$2:$B$9,"Unknown")</f>
        <v>Tablet</v>
      </c>
      <c r="K66" t="str">
        <f>_xlfn.XLOOKUP(tblOrders[[#This Row],[ProductID]],Products!$A$2:$A$9,Products!$C$2:$C$9,"Unknown")</f>
        <v>Electronics</v>
      </c>
      <c r="L66">
        <f>_xlfn.XLOOKUP(tblOrders[[#This Row],[ProductID]],Products!$A$2:$A$9,Products!$D$2:$D$9,0)</f>
        <v>13500</v>
      </c>
      <c r="M66">
        <f>tblOrders[[#This Row],[Quantity]]*tblOrders[[#This Row],[UnitPrice]]*(1-tblOrders[[#This Row],[Discount]])</f>
        <v>144000</v>
      </c>
      <c r="N66">
        <f>tblOrders[[#This Row],[Quantity]]*tblOrders[[#This Row],[UnitCost]]</f>
        <v>108000</v>
      </c>
      <c r="O66">
        <f>tblOrders[[#This Row],[Revenue]]-tblOrders[[#This Row],[Cost]]</f>
        <v>36000</v>
      </c>
      <c r="P66" t="str">
        <f>TEXT(tblOrders[[#This Row],[OrderDate]],"mmm")</f>
        <v>Sep</v>
      </c>
    </row>
    <row r="67" spans="1:16" x14ac:dyDescent="0.25">
      <c r="A67" t="s">
        <v>343</v>
      </c>
      <c r="B67" s="2">
        <v>45691</v>
      </c>
      <c r="C67" t="s">
        <v>25</v>
      </c>
      <c r="D67" t="s">
        <v>39</v>
      </c>
      <c r="E67" t="s">
        <v>40</v>
      </c>
      <c r="F67" t="s">
        <v>13</v>
      </c>
      <c r="G67">
        <v>15</v>
      </c>
      <c r="H67">
        <v>2000</v>
      </c>
      <c r="I67">
        <v>0.05</v>
      </c>
      <c r="J67" t="str">
        <f>_xlfn.XLOOKUP(tblOrders[[#This Row],[ProductID]],Products!$A$2:$A$9,Products!$B$2:$B$9,"Unknown")</f>
        <v>Headset</v>
      </c>
      <c r="K67" t="str">
        <f>_xlfn.XLOOKUP(tblOrders[[#This Row],[ProductID]],Products!$A$2:$A$9,Products!$C$2:$C$9,"Unknown")</f>
        <v>Accessories</v>
      </c>
      <c r="L67">
        <f>_xlfn.XLOOKUP(tblOrders[[#This Row],[ProductID]],Products!$A$2:$A$9,Products!$D$2:$D$9,0)</f>
        <v>1300</v>
      </c>
      <c r="M67">
        <f>tblOrders[[#This Row],[Quantity]]*tblOrders[[#This Row],[UnitPrice]]*(1-tblOrders[[#This Row],[Discount]])</f>
        <v>28500</v>
      </c>
      <c r="N67">
        <f>tblOrders[[#This Row],[Quantity]]*tblOrders[[#This Row],[UnitCost]]</f>
        <v>19500</v>
      </c>
      <c r="O67">
        <f>tblOrders[[#This Row],[Revenue]]-tblOrders[[#This Row],[Cost]]</f>
        <v>9000</v>
      </c>
      <c r="P67" t="str">
        <f>TEXT(tblOrders[[#This Row],[OrderDate]],"mmm")</f>
        <v>Feb</v>
      </c>
    </row>
    <row r="68" spans="1:16" x14ac:dyDescent="0.25">
      <c r="A68" t="s">
        <v>75</v>
      </c>
      <c r="B68" s="2">
        <v>45900</v>
      </c>
      <c r="C68" t="s">
        <v>73</v>
      </c>
      <c r="D68" t="s">
        <v>39</v>
      </c>
      <c r="E68" t="s">
        <v>76</v>
      </c>
      <c r="F68" t="s">
        <v>69</v>
      </c>
      <c r="G68">
        <v>6</v>
      </c>
      <c r="H68">
        <v>12000</v>
      </c>
      <c r="I68">
        <v>0.05</v>
      </c>
      <c r="J68" t="str">
        <f>_xlfn.XLOOKUP(tblOrders[[#This Row],[ProductID]],Products!$A$2:$A$9,Products!$B$2:$B$9,"Unknown")</f>
        <v>Monitor</v>
      </c>
      <c r="K68" t="str">
        <f>_xlfn.XLOOKUP(tblOrders[[#This Row],[ProductID]],Products!$A$2:$A$9,Products!$C$2:$C$9,"Unknown")</f>
        <v>Electronics</v>
      </c>
      <c r="L68">
        <f>_xlfn.XLOOKUP(tblOrders[[#This Row],[ProductID]],Products!$A$2:$A$9,Products!$D$2:$D$9,0)</f>
        <v>9000</v>
      </c>
      <c r="M68">
        <f>tblOrders[[#This Row],[Quantity]]*tblOrders[[#This Row],[UnitPrice]]*(1-tblOrders[[#This Row],[Discount]])</f>
        <v>68400</v>
      </c>
      <c r="N68">
        <f>tblOrders[[#This Row],[Quantity]]*tblOrders[[#This Row],[UnitCost]]</f>
        <v>54000</v>
      </c>
      <c r="O68">
        <f>tblOrders[[#This Row],[Revenue]]-tblOrders[[#This Row],[Cost]]</f>
        <v>14400</v>
      </c>
      <c r="P68" t="str">
        <f>TEXT(tblOrders[[#This Row],[OrderDate]],"mmm")</f>
        <v>Aug</v>
      </c>
    </row>
    <row r="69" spans="1:16" x14ac:dyDescent="0.25">
      <c r="A69" t="s">
        <v>1003</v>
      </c>
      <c r="B69" s="2">
        <v>45926</v>
      </c>
      <c r="C69" t="s">
        <v>153</v>
      </c>
      <c r="D69" t="s">
        <v>16</v>
      </c>
      <c r="E69" t="s">
        <v>17</v>
      </c>
      <c r="F69" t="s">
        <v>18</v>
      </c>
      <c r="G69">
        <v>4</v>
      </c>
      <c r="H69">
        <v>18000</v>
      </c>
      <c r="I69">
        <v>0.05</v>
      </c>
      <c r="J69" t="str">
        <f>_xlfn.XLOOKUP(tblOrders[[#This Row],[ProductID]],Products!$A$2:$A$9,Products!$B$2:$B$9,"Unknown")</f>
        <v>Tablet</v>
      </c>
      <c r="K69" t="str">
        <f>_xlfn.XLOOKUP(tblOrders[[#This Row],[ProductID]],Products!$A$2:$A$9,Products!$C$2:$C$9,"Unknown")</f>
        <v>Electronics</v>
      </c>
      <c r="L69">
        <f>_xlfn.XLOOKUP(tblOrders[[#This Row],[ProductID]],Products!$A$2:$A$9,Products!$D$2:$D$9,0)</f>
        <v>13500</v>
      </c>
      <c r="M69">
        <f>tblOrders[[#This Row],[Quantity]]*tblOrders[[#This Row],[UnitPrice]]*(1-tblOrders[[#This Row],[Discount]])</f>
        <v>68400</v>
      </c>
      <c r="N69">
        <f>tblOrders[[#This Row],[Quantity]]*tblOrders[[#This Row],[UnitCost]]</f>
        <v>54000</v>
      </c>
      <c r="O69">
        <f>tblOrders[[#This Row],[Revenue]]-tblOrders[[#This Row],[Cost]]</f>
        <v>14400</v>
      </c>
      <c r="P69" t="str">
        <f>TEXT(tblOrders[[#This Row],[OrderDate]],"mmm")</f>
        <v>Sep</v>
      </c>
    </row>
    <row r="70" spans="1:16" x14ac:dyDescent="0.25">
      <c r="A70" t="s">
        <v>925</v>
      </c>
      <c r="B70" s="2">
        <v>45791</v>
      </c>
      <c r="C70" t="s">
        <v>103</v>
      </c>
      <c r="D70" t="s">
        <v>11</v>
      </c>
      <c r="E70" t="s">
        <v>12</v>
      </c>
      <c r="F70" t="s">
        <v>34</v>
      </c>
      <c r="G70">
        <v>1</v>
      </c>
      <c r="H70">
        <v>55000</v>
      </c>
      <c r="I70">
        <v>0</v>
      </c>
      <c r="J70" t="str">
        <f>_xlfn.XLOOKUP(tblOrders[[#This Row],[ProductID]],Products!$A$2:$A$9,Products!$B$2:$B$9,"Unknown")</f>
        <v>Laptop</v>
      </c>
      <c r="K70" t="str">
        <f>_xlfn.XLOOKUP(tblOrders[[#This Row],[ProductID]],Products!$A$2:$A$9,Products!$C$2:$C$9,"Unknown")</f>
        <v>Electronics</v>
      </c>
      <c r="L70">
        <f>_xlfn.XLOOKUP(tblOrders[[#This Row],[ProductID]],Products!$A$2:$A$9,Products!$D$2:$D$9,0)</f>
        <v>41000</v>
      </c>
      <c r="M70">
        <f>tblOrders[[#This Row],[Quantity]]*tblOrders[[#This Row],[UnitPrice]]*(1-tblOrders[[#This Row],[Discount]])</f>
        <v>55000</v>
      </c>
      <c r="N70">
        <f>tblOrders[[#This Row],[Quantity]]*tblOrders[[#This Row],[UnitCost]]</f>
        <v>41000</v>
      </c>
      <c r="O70">
        <f>tblOrders[[#This Row],[Revenue]]-tblOrders[[#This Row],[Cost]]</f>
        <v>14000</v>
      </c>
      <c r="P70" t="str">
        <f>TEXT(tblOrders[[#This Row],[OrderDate]],"mmm")</f>
        <v>May</v>
      </c>
    </row>
    <row r="71" spans="1:16" x14ac:dyDescent="0.25">
      <c r="A71" t="s">
        <v>944</v>
      </c>
      <c r="B71" s="2">
        <v>45664</v>
      </c>
      <c r="C71" t="s">
        <v>66</v>
      </c>
      <c r="D71" t="s">
        <v>16</v>
      </c>
      <c r="E71" t="s">
        <v>33</v>
      </c>
      <c r="F71" t="s">
        <v>64</v>
      </c>
      <c r="G71">
        <v>12</v>
      </c>
      <c r="H71">
        <v>500</v>
      </c>
      <c r="I71">
        <v>0</v>
      </c>
      <c r="J71" t="str">
        <f>_xlfn.XLOOKUP(tblOrders[[#This Row],[ProductID]],Products!$A$2:$A$9,Products!$B$2:$B$9,"Unknown")</f>
        <v>Mouse</v>
      </c>
      <c r="K71" t="str">
        <f>_xlfn.XLOOKUP(tblOrders[[#This Row],[ProductID]],Products!$A$2:$A$9,Products!$C$2:$C$9,"Unknown")</f>
        <v>Accessories</v>
      </c>
      <c r="L71">
        <f>_xlfn.XLOOKUP(tblOrders[[#This Row],[ProductID]],Products!$A$2:$A$9,Products!$D$2:$D$9,0)</f>
        <v>320</v>
      </c>
      <c r="M71">
        <f>tblOrders[[#This Row],[Quantity]]*tblOrders[[#This Row],[UnitPrice]]*(1-tblOrders[[#This Row],[Discount]])</f>
        <v>6000</v>
      </c>
      <c r="N71">
        <f>tblOrders[[#This Row],[Quantity]]*tblOrders[[#This Row],[UnitCost]]</f>
        <v>3840</v>
      </c>
      <c r="O71">
        <f>tblOrders[[#This Row],[Revenue]]-tblOrders[[#This Row],[Cost]]</f>
        <v>2160</v>
      </c>
      <c r="P71" t="str">
        <f>TEXT(tblOrders[[#This Row],[OrderDate]],"mmm")</f>
        <v>Jan</v>
      </c>
    </row>
    <row r="72" spans="1:16" x14ac:dyDescent="0.25">
      <c r="A72" t="s">
        <v>846</v>
      </c>
      <c r="B72" s="2">
        <v>45711</v>
      </c>
      <c r="C72" t="s">
        <v>153</v>
      </c>
      <c r="D72" t="s">
        <v>39</v>
      </c>
      <c r="E72" t="s">
        <v>76</v>
      </c>
      <c r="F72" t="s">
        <v>18</v>
      </c>
      <c r="G72">
        <v>14</v>
      </c>
      <c r="H72">
        <v>18000</v>
      </c>
      <c r="I72">
        <v>0.1</v>
      </c>
      <c r="J72" t="str">
        <f>_xlfn.XLOOKUP(tblOrders[[#This Row],[ProductID]],Products!$A$2:$A$9,Products!$B$2:$B$9,"Unknown")</f>
        <v>Tablet</v>
      </c>
      <c r="K72" t="str">
        <f>_xlfn.XLOOKUP(tblOrders[[#This Row],[ProductID]],Products!$A$2:$A$9,Products!$C$2:$C$9,"Unknown")</f>
        <v>Electronics</v>
      </c>
      <c r="L72">
        <f>_xlfn.XLOOKUP(tblOrders[[#This Row],[ProductID]],Products!$A$2:$A$9,Products!$D$2:$D$9,0)</f>
        <v>13500</v>
      </c>
      <c r="M72">
        <f>tblOrders[[#This Row],[Quantity]]*tblOrders[[#This Row],[UnitPrice]]*(1-tblOrders[[#This Row],[Discount]])</f>
        <v>226800</v>
      </c>
      <c r="N72">
        <f>tblOrders[[#This Row],[Quantity]]*tblOrders[[#This Row],[UnitCost]]</f>
        <v>189000</v>
      </c>
      <c r="O72">
        <f>tblOrders[[#This Row],[Revenue]]-tblOrders[[#This Row],[Cost]]</f>
        <v>37800</v>
      </c>
      <c r="P72" t="str">
        <f>TEXT(tblOrders[[#This Row],[OrderDate]],"mmm")</f>
        <v>Feb</v>
      </c>
    </row>
    <row r="73" spans="1:16" x14ac:dyDescent="0.25">
      <c r="A73" t="s">
        <v>224</v>
      </c>
      <c r="B73" s="2">
        <v>45759</v>
      </c>
      <c r="C73" t="s">
        <v>160</v>
      </c>
      <c r="D73" t="s">
        <v>39</v>
      </c>
      <c r="E73" t="s">
        <v>40</v>
      </c>
      <c r="F73" t="s">
        <v>34</v>
      </c>
      <c r="G73">
        <v>7</v>
      </c>
      <c r="H73">
        <v>55000</v>
      </c>
      <c r="I73">
        <v>0.15</v>
      </c>
      <c r="J73" t="str">
        <f>_xlfn.XLOOKUP(tblOrders[[#This Row],[ProductID]],Products!$A$2:$A$9,Products!$B$2:$B$9,"Unknown")</f>
        <v>Laptop</v>
      </c>
      <c r="K73" t="str">
        <f>_xlfn.XLOOKUP(tblOrders[[#This Row],[ProductID]],Products!$A$2:$A$9,Products!$C$2:$C$9,"Unknown")</f>
        <v>Electronics</v>
      </c>
      <c r="L73">
        <f>_xlfn.XLOOKUP(tblOrders[[#This Row],[ProductID]],Products!$A$2:$A$9,Products!$D$2:$D$9,0)</f>
        <v>41000</v>
      </c>
      <c r="M73">
        <f>tblOrders[[#This Row],[Quantity]]*tblOrders[[#This Row],[UnitPrice]]*(1-tblOrders[[#This Row],[Discount]])</f>
        <v>327250</v>
      </c>
      <c r="N73">
        <f>tblOrders[[#This Row],[Quantity]]*tblOrders[[#This Row],[UnitCost]]</f>
        <v>287000</v>
      </c>
      <c r="O73">
        <f>tblOrders[[#This Row],[Revenue]]-tblOrders[[#This Row],[Cost]]</f>
        <v>40250</v>
      </c>
      <c r="P73" t="str">
        <f>TEXT(tblOrders[[#This Row],[OrderDate]],"mmm")</f>
        <v>Apr</v>
      </c>
    </row>
    <row r="74" spans="1:16" x14ac:dyDescent="0.25">
      <c r="A74" t="s">
        <v>791</v>
      </c>
      <c r="B74" s="2">
        <v>45933</v>
      </c>
      <c r="C74" t="s">
        <v>48</v>
      </c>
      <c r="D74" t="s">
        <v>11</v>
      </c>
      <c r="E74" t="s">
        <v>12</v>
      </c>
      <c r="F74" t="s">
        <v>55</v>
      </c>
      <c r="G74">
        <v>9</v>
      </c>
      <c r="H74">
        <v>8000</v>
      </c>
      <c r="I74">
        <v>0</v>
      </c>
      <c r="J74" t="str">
        <f>_xlfn.XLOOKUP(tblOrders[[#This Row],[ProductID]],Products!$A$2:$A$9,Products!$B$2:$B$9,"Unknown")</f>
        <v>Printer</v>
      </c>
      <c r="K74" t="str">
        <f>_xlfn.XLOOKUP(tblOrders[[#This Row],[ProductID]],Products!$A$2:$A$9,Products!$C$2:$C$9,"Unknown")</f>
        <v>Electronics</v>
      </c>
      <c r="L74">
        <f>_xlfn.XLOOKUP(tblOrders[[#This Row],[ProductID]],Products!$A$2:$A$9,Products!$D$2:$D$9,0)</f>
        <v>6200</v>
      </c>
      <c r="M74">
        <f>tblOrders[[#This Row],[Quantity]]*tblOrders[[#This Row],[UnitPrice]]*(1-tblOrders[[#This Row],[Discount]])</f>
        <v>72000</v>
      </c>
      <c r="N74">
        <f>tblOrders[[#This Row],[Quantity]]*tblOrders[[#This Row],[UnitCost]]</f>
        <v>55800</v>
      </c>
      <c r="O74">
        <f>tblOrders[[#This Row],[Revenue]]-tblOrders[[#This Row],[Cost]]</f>
        <v>16200</v>
      </c>
      <c r="P74" t="str">
        <f>TEXT(tblOrders[[#This Row],[OrderDate]],"mmm")</f>
        <v>Oct</v>
      </c>
    </row>
    <row r="75" spans="1:16" x14ac:dyDescent="0.25">
      <c r="A75" t="s">
        <v>706</v>
      </c>
      <c r="B75" s="2">
        <v>45777</v>
      </c>
      <c r="C75" t="s">
        <v>27</v>
      </c>
      <c r="D75" t="s">
        <v>16</v>
      </c>
      <c r="E75" t="s">
        <v>17</v>
      </c>
      <c r="F75" t="s">
        <v>69</v>
      </c>
      <c r="G75">
        <v>6</v>
      </c>
      <c r="H75">
        <v>12000</v>
      </c>
      <c r="I75">
        <v>0.1</v>
      </c>
      <c r="J75" t="str">
        <f>_xlfn.XLOOKUP(tblOrders[[#This Row],[ProductID]],Products!$A$2:$A$9,Products!$B$2:$B$9,"Unknown")</f>
        <v>Monitor</v>
      </c>
      <c r="K75" t="str">
        <f>_xlfn.XLOOKUP(tblOrders[[#This Row],[ProductID]],Products!$A$2:$A$9,Products!$C$2:$C$9,"Unknown")</f>
        <v>Electronics</v>
      </c>
      <c r="L75">
        <f>_xlfn.XLOOKUP(tblOrders[[#This Row],[ProductID]],Products!$A$2:$A$9,Products!$D$2:$D$9,0)</f>
        <v>9000</v>
      </c>
      <c r="M75">
        <f>tblOrders[[#This Row],[Quantity]]*tblOrders[[#This Row],[UnitPrice]]*(1-tblOrders[[#This Row],[Discount]])</f>
        <v>64800</v>
      </c>
      <c r="N75">
        <f>tblOrders[[#This Row],[Quantity]]*tblOrders[[#This Row],[UnitCost]]</f>
        <v>54000</v>
      </c>
      <c r="O75">
        <f>tblOrders[[#This Row],[Revenue]]-tblOrders[[#This Row],[Cost]]</f>
        <v>10800</v>
      </c>
      <c r="P75" t="str">
        <f>TEXT(tblOrders[[#This Row],[OrderDate]],"mmm")</f>
        <v>Apr</v>
      </c>
    </row>
    <row r="76" spans="1:16" x14ac:dyDescent="0.25">
      <c r="A76" t="s">
        <v>1042</v>
      </c>
      <c r="B76" s="2">
        <v>45769</v>
      </c>
      <c r="C76" t="s">
        <v>78</v>
      </c>
      <c r="D76" t="s">
        <v>11</v>
      </c>
      <c r="E76" t="s">
        <v>12</v>
      </c>
      <c r="F76" t="s">
        <v>18</v>
      </c>
      <c r="G76">
        <v>3</v>
      </c>
      <c r="H76">
        <v>18000</v>
      </c>
      <c r="I76">
        <v>0</v>
      </c>
      <c r="J76" t="str">
        <f>_xlfn.XLOOKUP(tblOrders[[#This Row],[ProductID]],Products!$A$2:$A$9,Products!$B$2:$B$9,"Unknown")</f>
        <v>Tablet</v>
      </c>
      <c r="K76" t="str">
        <f>_xlfn.XLOOKUP(tblOrders[[#This Row],[ProductID]],Products!$A$2:$A$9,Products!$C$2:$C$9,"Unknown")</f>
        <v>Electronics</v>
      </c>
      <c r="L76">
        <f>_xlfn.XLOOKUP(tblOrders[[#This Row],[ProductID]],Products!$A$2:$A$9,Products!$D$2:$D$9,0)</f>
        <v>13500</v>
      </c>
      <c r="M76">
        <f>tblOrders[[#This Row],[Quantity]]*tblOrders[[#This Row],[UnitPrice]]*(1-tblOrders[[#This Row],[Discount]])</f>
        <v>54000</v>
      </c>
      <c r="N76">
        <f>tblOrders[[#This Row],[Quantity]]*tblOrders[[#This Row],[UnitCost]]</f>
        <v>40500</v>
      </c>
      <c r="O76">
        <f>tblOrders[[#This Row],[Revenue]]-tblOrders[[#This Row],[Cost]]</f>
        <v>13500</v>
      </c>
      <c r="P76" t="str">
        <f>TEXT(tblOrders[[#This Row],[OrderDate]],"mmm")</f>
        <v>Apr</v>
      </c>
    </row>
    <row r="77" spans="1:16" x14ac:dyDescent="0.25">
      <c r="A77" t="s">
        <v>362</v>
      </c>
      <c r="B77" s="2">
        <v>45790</v>
      </c>
      <c r="C77" t="s">
        <v>105</v>
      </c>
      <c r="D77" t="s">
        <v>39</v>
      </c>
      <c r="E77" t="s">
        <v>40</v>
      </c>
      <c r="F77" t="s">
        <v>18</v>
      </c>
      <c r="G77">
        <v>7</v>
      </c>
      <c r="H77">
        <v>18000</v>
      </c>
      <c r="I77">
        <v>0.05</v>
      </c>
      <c r="J77" t="str">
        <f>_xlfn.XLOOKUP(tblOrders[[#This Row],[ProductID]],Products!$A$2:$A$9,Products!$B$2:$B$9,"Unknown")</f>
        <v>Tablet</v>
      </c>
      <c r="K77" t="str">
        <f>_xlfn.XLOOKUP(tblOrders[[#This Row],[ProductID]],Products!$A$2:$A$9,Products!$C$2:$C$9,"Unknown")</f>
        <v>Electronics</v>
      </c>
      <c r="L77">
        <f>_xlfn.XLOOKUP(tblOrders[[#This Row],[ProductID]],Products!$A$2:$A$9,Products!$D$2:$D$9,0)</f>
        <v>13500</v>
      </c>
      <c r="M77">
        <f>tblOrders[[#This Row],[Quantity]]*tblOrders[[#This Row],[UnitPrice]]*(1-tblOrders[[#This Row],[Discount]])</f>
        <v>119700</v>
      </c>
      <c r="N77">
        <f>tblOrders[[#This Row],[Quantity]]*tblOrders[[#This Row],[UnitCost]]</f>
        <v>94500</v>
      </c>
      <c r="O77">
        <f>tblOrders[[#This Row],[Revenue]]-tblOrders[[#This Row],[Cost]]</f>
        <v>25200</v>
      </c>
      <c r="P77" t="str">
        <f>TEXT(tblOrders[[#This Row],[OrderDate]],"mmm")</f>
        <v>May</v>
      </c>
    </row>
    <row r="78" spans="1:16" x14ac:dyDescent="0.25">
      <c r="A78" t="s">
        <v>389</v>
      </c>
      <c r="B78" s="2">
        <v>45760</v>
      </c>
      <c r="C78" t="s">
        <v>71</v>
      </c>
      <c r="D78" t="s">
        <v>39</v>
      </c>
      <c r="E78" t="s">
        <v>76</v>
      </c>
      <c r="F78" t="s">
        <v>34</v>
      </c>
      <c r="G78">
        <v>2</v>
      </c>
      <c r="H78">
        <v>55000</v>
      </c>
      <c r="I78">
        <v>0</v>
      </c>
      <c r="J78" t="str">
        <f>_xlfn.XLOOKUP(tblOrders[[#This Row],[ProductID]],Products!$A$2:$A$9,Products!$B$2:$B$9,"Unknown")</f>
        <v>Laptop</v>
      </c>
      <c r="K78" t="str">
        <f>_xlfn.XLOOKUP(tblOrders[[#This Row],[ProductID]],Products!$A$2:$A$9,Products!$C$2:$C$9,"Unknown")</f>
        <v>Electronics</v>
      </c>
      <c r="L78">
        <f>_xlfn.XLOOKUP(tblOrders[[#This Row],[ProductID]],Products!$A$2:$A$9,Products!$D$2:$D$9,0)</f>
        <v>41000</v>
      </c>
      <c r="M78">
        <f>tblOrders[[#This Row],[Quantity]]*tblOrders[[#This Row],[UnitPrice]]*(1-tblOrders[[#This Row],[Discount]])</f>
        <v>110000</v>
      </c>
      <c r="N78">
        <f>tblOrders[[#This Row],[Quantity]]*tblOrders[[#This Row],[UnitCost]]</f>
        <v>82000</v>
      </c>
      <c r="O78">
        <f>tblOrders[[#This Row],[Revenue]]-tblOrders[[#This Row],[Cost]]</f>
        <v>28000</v>
      </c>
      <c r="P78" t="str">
        <f>TEXT(tblOrders[[#This Row],[OrderDate]],"mmm")</f>
        <v>Apr</v>
      </c>
    </row>
    <row r="79" spans="1:16" x14ac:dyDescent="0.25">
      <c r="A79" t="s">
        <v>523</v>
      </c>
      <c r="B79" s="2">
        <v>45842</v>
      </c>
      <c r="C79" t="s">
        <v>138</v>
      </c>
      <c r="D79" t="s">
        <v>21</v>
      </c>
      <c r="E79" t="s">
        <v>22</v>
      </c>
      <c r="F79" t="s">
        <v>64</v>
      </c>
      <c r="G79">
        <v>9</v>
      </c>
      <c r="H79">
        <v>500</v>
      </c>
      <c r="I79">
        <v>0.15</v>
      </c>
      <c r="J79" t="str">
        <f>_xlfn.XLOOKUP(tblOrders[[#This Row],[ProductID]],Products!$A$2:$A$9,Products!$B$2:$B$9,"Unknown")</f>
        <v>Mouse</v>
      </c>
      <c r="K79" t="str">
        <f>_xlfn.XLOOKUP(tblOrders[[#This Row],[ProductID]],Products!$A$2:$A$9,Products!$C$2:$C$9,"Unknown")</f>
        <v>Accessories</v>
      </c>
      <c r="L79">
        <f>_xlfn.XLOOKUP(tblOrders[[#This Row],[ProductID]],Products!$A$2:$A$9,Products!$D$2:$D$9,0)</f>
        <v>320</v>
      </c>
      <c r="M79">
        <f>tblOrders[[#This Row],[Quantity]]*tblOrders[[#This Row],[UnitPrice]]*(1-tblOrders[[#This Row],[Discount]])</f>
        <v>3825</v>
      </c>
      <c r="N79">
        <f>tblOrders[[#This Row],[Quantity]]*tblOrders[[#This Row],[UnitCost]]</f>
        <v>2880</v>
      </c>
      <c r="O79">
        <f>tblOrders[[#This Row],[Revenue]]-tblOrders[[#This Row],[Cost]]</f>
        <v>945</v>
      </c>
      <c r="P79" t="str">
        <f>TEXT(tblOrders[[#This Row],[OrderDate]],"mmm")</f>
        <v>Jul</v>
      </c>
    </row>
    <row r="80" spans="1:16" x14ac:dyDescent="0.25">
      <c r="A80" t="s">
        <v>762</v>
      </c>
      <c r="B80" s="2">
        <v>45694</v>
      </c>
      <c r="C80" t="s">
        <v>68</v>
      </c>
      <c r="D80" t="s">
        <v>39</v>
      </c>
      <c r="E80" t="s">
        <v>76</v>
      </c>
      <c r="F80" t="s">
        <v>18</v>
      </c>
      <c r="G80">
        <v>1</v>
      </c>
      <c r="H80">
        <v>18000</v>
      </c>
      <c r="I80">
        <v>0</v>
      </c>
      <c r="J80" t="str">
        <f>_xlfn.XLOOKUP(tblOrders[[#This Row],[ProductID]],Products!$A$2:$A$9,Products!$B$2:$B$9,"Unknown")</f>
        <v>Tablet</v>
      </c>
      <c r="K80" t="str">
        <f>_xlfn.XLOOKUP(tblOrders[[#This Row],[ProductID]],Products!$A$2:$A$9,Products!$C$2:$C$9,"Unknown")</f>
        <v>Electronics</v>
      </c>
      <c r="L80">
        <f>_xlfn.XLOOKUP(tblOrders[[#This Row],[ProductID]],Products!$A$2:$A$9,Products!$D$2:$D$9,0)</f>
        <v>13500</v>
      </c>
      <c r="M80">
        <f>tblOrders[[#This Row],[Quantity]]*tblOrders[[#This Row],[UnitPrice]]*(1-tblOrders[[#This Row],[Discount]])</f>
        <v>18000</v>
      </c>
      <c r="N80">
        <f>tblOrders[[#This Row],[Quantity]]*tblOrders[[#This Row],[UnitCost]]</f>
        <v>13500</v>
      </c>
      <c r="O80">
        <f>tblOrders[[#This Row],[Revenue]]-tblOrders[[#This Row],[Cost]]</f>
        <v>4500</v>
      </c>
      <c r="P80" t="str">
        <f>TEXT(tblOrders[[#This Row],[OrderDate]],"mmm")</f>
        <v>Feb</v>
      </c>
    </row>
    <row r="81" spans="1:16" x14ac:dyDescent="0.25">
      <c r="A81" t="s">
        <v>531</v>
      </c>
      <c r="B81" s="2">
        <v>45733</v>
      </c>
      <c r="C81" t="s">
        <v>144</v>
      </c>
      <c r="D81" t="s">
        <v>11</v>
      </c>
      <c r="E81" t="s">
        <v>12</v>
      </c>
      <c r="F81" t="s">
        <v>69</v>
      </c>
      <c r="G81">
        <v>2</v>
      </c>
      <c r="H81">
        <v>12000</v>
      </c>
      <c r="I81">
        <v>0</v>
      </c>
      <c r="J81" t="str">
        <f>_xlfn.XLOOKUP(tblOrders[[#This Row],[ProductID]],Products!$A$2:$A$9,Products!$B$2:$B$9,"Unknown")</f>
        <v>Monitor</v>
      </c>
      <c r="K81" t="str">
        <f>_xlfn.XLOOKUP(tblOrders[[#This Row],[ProductID]],Products!$A$2:$A$9,Products!$C$2:$C$9,"Unknown")</f>
        <v>Electronics</v>
      </c>
      <c r="L81">
        <f>_xlfn.XLOOKUP(tblOrders[[#This Row],[ProductID]],Products!$A$2:$A$9,Products!$D$2:$D$9,0)</f>
        <v>9000</v>
      </c>
      <c r="M81">
        <f>tblOrders[[#This Row],[Quantity]]*tblOrders[[#This Row],[UnitPrice]]*(1-tblOrders[[#This Row],[Discount]])</f>
        <v>24000</v>
      </c>
      <c r="N81">
        <f>tblOrders[[#This Row],[Quantity]]*tblOrders[[#This Row],[UnitCost]]</f>
        <v>18000</v>
      </c>
      <c r="O81">
        <f>tblOrders[[#This Row],[Revenue]]-tblOrders[[#This Row],[Cost]]</f>
        <v>6000</v>
      </c>
      <c r="P81" t="str">
        <f>TEXT(tblOrders[[#This Row],[OrderDate]],"mmm")</f>
        <v>Mar</v>
      </c>
    </row>
    <row r="82" spans="1:16" x14ac:dyDescent="0.25">
      <c r="A82" t="s">
        <v>232</v>
      </c>
      <c r="B82" s="2">
        <v>45802</v>
      </c>
      <c r="C82" t="s">
        <v>90</v>
      </c>
      <c r="D82" t="s">
        <v>21</v>
      </c>
      <c r="E82" t="s">
        <v>22</v>
      </c>
      <c r="F82" t="s">
        <v>34</v>
      </c>
      <c r="G82">
        <v>3</v>
      </c>
      <c r="H82">
        <v>55000</v>
      </c>
      <c r="I82">
        <v>0.15</v>
      </c>
      <c r="J82" t="str">
        <f>_xlfn.XLOOKUP(tblOrders[[#This Row],[ProductID]],Products!$A$2:$A$9,Products!$B$2:$B$9,"Unknown")</f>
        <v>Laptop</v>
      </c>
      <c r="K82" t="str">
        <f>_xlfn.XLOOKUP(tblOrders[[#This Row],[ProductID]],Products!$A$2:$A$9,Products!$C$2:$C$9,"Unknown")</f>
        <v>Electronics</v>
      </c>
      <c r="L82">
        <f>_xlfn.XLOOKUP(tblOrders[[#This Row],[ProductID]],Products!$A$2:$A$9,Products!$D$2:$D$9,0)</f>
        <v>41000</v>
      </c>
      <c r="M82">
        <f>tblOrders[[#This Row],[Quantity]]*tblOrders[[#This Row],[UnitPrice]]*(1-tblOrders[[#This Row],[Discount]])</f>
        <v>140250</v>
      </c>
      <c r="N82">
        <f>tblOrders[[#This Row],[Quantity]]*tblOrders[[#This Row],[UnitCost]]</f>
        <v>123000</v>
      </c>
      <c r="O82">
        <f>tblOrders[[#This Row],[Revenue]]-tblOrders[[#This Row],[Cost]]</f>
        <v>17250</v>
      </c>
      <c r="P82" t="str">
        <f>TEXT(tblOrders[[#This Row],[OrderDate]],"mmm")</f>
        <v>May</v>
      </c>
    </row>
    <row r="83" spans="1:16" x14ac:dyDescent="0.25">
      <c r="A83" t="s">
        <v>1067</v>
      </c>
      <c r="B83" s="2">
        <v>45707</v>
      </c>
      <c r="C83" t="s">
        <v>151</v>
      </c>
      <c r="D83" t="s">
        <v>16</v>
      </c>
      <c r="E83" t="s">
        <v>33</v>
      </c>
      <c r="F83" t="s">
        <v>13</v>
      </c>
      <c r="G83">
        <v>8</v>
      </c>
      <c r="H83">
        <v>2000</v>
      </c>
      <c r="I83">
        <v>0.05</v>
      </c>
      <c r="J83" t="str">
        <f>_xlfn.XLOOKUP(tblOrders[[#This Row],[ProductID]],Products!$A$2:$A$9,Products!$B$2:$B$9,"Unknown")</f>
        <v>Headset</v>
      </c>
      <c r="K83" t="str">
        <f>_xlfn.XLOOKUP(tblOrders[[#This Row],[ProductID]],Products!$A$2:$A$9,Products!$C$2:$C$9,"Unknown")</f>
        <v>Accessories</v>
      </c>
      <c r="L83">
        <f>_xlfn.XLOOKUP(tblOrders[[#This Row],[ProductID]],Products!$A$2:$A$9,Products!$D$2:$D$9,0)</f>
        <v>1300</v>
      </c>
      <c r="M83">
        <f>tblOrders[[#This Row],[Quantity]]*tblOrders[[#This Row],[UnitPrice]]*(1-tblOrders[[#This Row],[Discount]])</f>
        <v>15200</v>
      </c>
      <c r="N83">
        <f>tblOrders[[#This Row],[Quantity]]*tblOrders[[#This Row],[UnitCost]]</f>
        <v>10400</v>
      </c>
      <c r="O83">
        <f>tblOrders[[#This Row],[Revenue]]-tblOrders[[#This Row],[Cost]]</f>
        <v>4800</v>
      </c>
      <c r="P83" t="str">
        <f>TEXT(tblOrders[[#This Row],[OrderDate]],"mmm")</f>
        <v>Feb</v>
      </c>
    </row>
    <row r="84" spans="1:16" x14ac:dyDescent="0.25">
      <c r="A84" t="s">
        <v>521</v>
      </c>
      <c r="B84" s="2">
        <v>45878</v>
      </c>
      <c r="C84" t="s">
        <v>115</v>
      </c>
      <c r="D84" t="s">
        <v>11</v>
      </c>
      <c r="E84" t="s">
        <v>12</v>
      </c>
      <c r="F84" t="s">
        <v>64</v>
      </c>
      <c r="G84">
        <v>1</v>
      </c>
      <c r="H84">
        <v>500</v>
      </c>
      <c r="I84">
        <v>0.15</v>
      </c>
      <c r="J84" t="str">
        <f>_xlfn.XLOOKUP(tblOrders[[#This Row],[ProductID]],Products!$A$2:$A$9,Products!$B$2:$B$9,"Unknown")</f>
        <v>Mouse</v>
      </c>
      <c r="K84" t="str">
        <f>_xlfn.XLOOKUP(tblOrders[[#This Row],[ProductID]],Products!$A$2:$A$9,Products!$C$2:$C$9,"Unknown")</f>
        <v>Accessories</v>
      </c>
      <c r="L84">
        <f>_xlfn.XLOOKUP(tblOrders[[#This Row],[ProductID]],Products!$A$2:$A$9,Products!$D$2:$D$9,0)</f>
        <v>320</v>
      </c>
      <c r="M84">
        <f>tblOrders[[#This Row],[Quantity]]*tblOrders[[#This Row],[UnitPrice]]*(1-tblOrders[[#This Row],[Discount]])</f>
        <v>425</v>
      </c>
      <c r="N84">
        <f>tblOrders[[#This Row],[Quantity]]*tblOrders[[#This Row],[UnitCost]]</f>
        <v>320</v>
      </c>
      <c r="O84">
        <f>tblOrders[[#This Row],[Revenue]]-tblOrders[[#This Row],[Cost]]</f>
        <v>105</v>
      </c>
      <c r="P84" t="str">
        <f>TEXT(tblOrders[[#This Row],[OrderDate]],"mmm")</f>
        <v>Aug</v>
      </c>
    </row>
    <row r="85" spans="1:16" x14ac:dyDescent="0.25">
      <c r="A85" t="s">
        <v>1043</v>
      </c>
      <c r="B85" s="2">
        <v>45760</v>
      </c>
      <c r="C85" t="s">
        <v>149</v>
      </c>
      <c r="D85" t="s">
        <v>11</v>
      </c>
      <c r="E85" t="s">
        <v>46</v>
      </c>
      <c r="F85" t="s">
        <v>13</v>
      </c>
      <c r="G85">
        <v>8</v>
      </c>
      <c r="H85">
        <v>2000</v>
      </c>
      <c r="I85">
        <v>0</v>
      </c>
      <c r="J85" t="str">
        <f>_xlfn.XLOOKUP(tblOrders[[#This Row],[ProductID]],Products!$A$2:$A$9,Products!$B$2:$B$9,"Unknown")</f>
        <v>Headset</v>
      </c>
      <c r="K85" t="str">
        <f>_xlfn.XLOOKUP(tblOrders[[#This Row],[ProductID]],Products!$A$2:$A$9,Products!$C$2:$C$9,"Unknown")</f>
        <v>Accessories</v>
      </c>
      <c r="L85">
        <f>_xlfn.XLOOKUP(tblOrders[[#This Row],[ProductID]],Products!$A$2:$A$9,Products!$D$2:$D$9,0)</f>
        <v>1300</v>
      </c>
      <c r="M85">
        <f>tblOrders[[#This Row],[Quantity]]*tblOrders[[#This Row],[UnitPrice]]*(1-tblOrders[[#This Row],[Discount]])</f>
        <v>16000</v>
      </c>
      <c r="N85">
        <f>tblOrders[[#This Row],[Quantity]]*tblOrders[[#This Row],[UnitCost]]</f>
        <v>10400</v>
      </c>
      <c r="O85">
        <f>tblOrders[[#This Row],[Revenue]]-tblOrders[[#This Row],[Cost]]</f>
        <v>5600</v>
      </c>
      <c r="P85" t="str">
        <f>TEXT(tblOrders[[#This Row],[OrderDate]],"mmm")</f>
        <v>Apr</v>
      </c>
    </row>
    <row r="86" spans="1:16" x14ac:dyDescent="0.25">
      <c r="A86" t="s">
        <v>1038</v>
      </c>
      <c r="B86" s="2">
        <v>45865</v>
      </c>
      <c r="C86" t="s">
        <v>229</v>
      </c>
      <c r="D86" t="s">
        <v>11</v>
      </c>
      <c r="E86" t="s">
        <v>12</v>
      </c>
      <c r="F86" t="s">
        <v>69</v>
      </c>
      <c r="G86">
        <v>2</v>
      </c>
      <c r="H86">
        <v>12000</v>
      </c>
      <c r="I86">
        <v>0.1</v>
      </c>
      <c r="J86" t="str">
        <f>_xlfn.XLOOKUP(tblOrders[[#This Row],[ProductID]],Products!$A$2:$A$9,Products!$B$2:$B$9,"Unknown")</f>
        <v>Monitor</v>
      </c>
      <c r="K86" t="str">
        <f>_xlfn.XLOOKUP(tblOrders[[#This Row],[ProductID]],Products!$A$2:$A$9,Products!$C$2:$C$9,"Unknown")</f>
        <v>Electronics</v>
      </c>
      <c r="L86">
        <f>_xlfn.XLOOKUP(tblOrders[[#This Row],[ProductID]],Products!$A$2:$A$9,Products!$D$2:$D$9,0)</f>
        <v>9000</v>
      </c>
      <c r="M86">
        <f>tblOrders[[#This Row],[Quantity]]*tblOrders[[#This Row],[UnitPrice]]*(1-tblOrders[[#This Row],[Discount]])</f>
        <v>21600</v>
      </c>
      <c r="N86">
        <f>tblOrders[[#This Row],[Quantity]]*tblOrders[[#This Row],[UnitCost]]</f>
        <v>18000</v>
      </c>
      <c r="O86">
        <f>tblOrders[[#This Row],[Revenue]]-tblOrders[[#This Row],[Cost]]</f>
        <v>3600</v>
      </c>
      <c r="P86" t="str">
        <f>TEXT(tblOrders[[#This Row],[OrderDate]],"mmm")</f>
        <v>Jul</v>
      </c>
    </row>
    <row r="87" spans="1:16" x14ac:dyDescent="0.25">
      <c r="A87" t="s">
        <v>587</v>
      </c>
      <c r="B87" s="2">
        <v>45823</v>
      </c>
      <c r="C87" t="s">
        <v>121</v>
      </c>
      <c r="D87" t="s">
        <v>21</v>
      </c>
      <c r="E87" t="s">
        <v>28</v>
      </c>
      <c r="F87" t="s">
        <v>13</v>
      </c>
      <c r="G87">
        <v>10</v>
      </c>
      <c r="H87">
        <v>2000</v>
      </c>
      <c r="I87">
        <v>0.1</v>
      </c>
      <c r="J87" t="str">
        <f>_xlfn.XLOOKUP(tblOrders[[#This Row],[ProductID]],Products!$A$2:$A$9,Products!$B$2:$B$9,"Unknown")</f>
        <v>Headset</v>
      </c>
      <c r="K87" t="str">
        <f>_xlfn.XLOOKUP(tblOrders[[#This Row],[ProductID]],Products!$A$2:$A$9,Products!$C$2:$C$9,"Unknown")</f>
        <v>Accessories</v>
      </c>
      <c r="L87">
        <f>_xlfn.XLOOKUP(tblOrders[[#This Row],[ProductID]],Products!$A$2:$A$9,Products!$D$2:$D$9,0)</f>
        <v>1300</v>
      </c>
      <c r="M87">
        <f>tblOrders[[#This Row],[Quantity]]*tblOrders[[#This Row],[UnitPrice]]*(1-tblOrders[[#This Row],[Discount]])</f>
        <v>18000</v>
      </c>
      <c r="N87">
        <f>tblOrders[[#This Row],[Quantity]]*tblOrders[[#This Row],[UnitCost]]</f>
        <v>13000</v>
      </c>
      <c r="O87">
        <f>tblOrders[[#This Row],[Revenue]]-tblOrders[[#This Row],[Cost]]</f>
        <v>5000</v>
      </c>
      <c r="P87" t="str">
        <f>TEXT(tblOrders[[#This Row],[OrderDate]],"mmm")</f>
        <v>Jun</v>
      </c>
    </row>
    <row r="88" spans="1:16" x14ac:dyDescent="0.25">
      <c r="A88" t="s">
        <v>275</v>
      </c>
      <c r="B88" s="2">
        <v>45790</v>
      </c>
      <c r="C88" t="s">
        <v>20</v>
      </c>
      <c r="D88" t="s">
        <v>16</v>
      </c>
      <c r="E88" t="s">
        <v>17</v>
      </c>
      <c r="F88" t="s">
        <v>18</v>
      </c>
      <c r="G88">
        <v>12</v>
      </c>
      <c r="H88">
        <v>18000</v>
      </c>
      <c r="I88">
        <v>0.15</v>
      </c>
      <c r="J88" t="str">
        <f>_xlfn.XLOOKUP(tblOrders[[#This Row],[ProductID]],Products!$A$2:$A$9,Products!$B$2:$B$9,"Unknown")</f>
        <v>Tablet</v>
      </c>
      <c r="K88" t="str">
        <f>_xlfn.XLOOKUP(tblOrders[[#This Row],[ProductID]],Products!$A$2:$A$9,Products!$C$2:$C$9,"Unknown")</f>
        <v>Electronics</v>
      </c>
      <c r="L88">
        <f>_xlfn.XLOOKUP(tblOrders[[#This Row],[ProductID]],Products!$A$2:$A$9,Products!$D$2:$D$9,0)</f>
        <v>13500</v>
      </c>
      <c r="M88">
        <f>tblOrders[[#This Row],[Quantity]]*tblOrders[[#This Row],[UnitPrice]]*(1-tblOrders[[#This Row],[Discount]])</f>
        <v>183600</v>
      </c>
      <c r="N88">
        <f>tblOrders[[#This Row],[Quantity]]*tblOrders[[#This Row],[UnitCost]]</f>
        <v>162000</v>
      </c>
      <c r="O88">
        <f>tblOrders[[#This Row],[Revenue]]-tblOrders[[#This Row],[Cost]]</f>
        <v>21600</v>
      </c>
      <c r="P88" t="str">
        <f>TEXT(tblOrders[[#This Row],[OrderDate]],"mmm")</f>
        <v>May</v>
      </c>
    </row>
    <row r="89" spans="1:16" x14ac:dyDescent="0.25">
      <c r="A89" t="s">
        <v>723</v>
      </c>
      <c r="B89" s="2">
        <v>45865</v>
      </c>
      <c r="C89" t="s">
        <v>115</v>
      </c>
      <c r="D89" t="s">
        <v>11</v>
      </c>
      <c r="E89" t="s">
        <v>46</v>
      </c>
      <c r="F89" t="s">
        <v>64</v>
      </c>
      <c r="G89">
        <v>15</v>
      </c>
      <c r="H89">
        <v>500</v>
      </c>
      <c r="I89">
        <v>0.1</v>
      </c>
      <c r="J89" t="str">
        <f>_xlfn.XLOOKUP(tblOrders[[#This Row],[ProductID]],Products!$A$2:$A$9,Products!$B$2:$B$9,"Unknown")</f>
        <v>Mouse</v>
      </c>
      <c r="K89" t="str">
        <f>_xlfn.XLOOKUP(tblOrders[[#This Row],[ProductID]],Products!$A$2:$A$9,Products!$C$2:$C$9,"Unknown")</f>
        <v>Accessories</v>
      </c>
      <c r="L89">
        <f>_xlfn.XLOOKUP(tblOrders[[#This Row],[ProductID]],Products!$A$2:$A$9,Products!$D$2:$D$9,0)</f>
        <v>320</v>
      </c>
      <c r="M89">
        <f>tblOrders[[#This Row],[Quantity]]*tblOrders[[#This Row],[UnitPrice]]*(1-tblOrders[[#This Row],[Discount]])</f>
        <v>6750</v>
      </c>
      <c r="N89">
        <f>tblOrders[[#This Row],[Quantity]]*tblOrders[[#This Row],[UnitCost]]</f>
        <v>4800</v>
      </c>
      <c r="O89">
        <f>tblOrders[[#This Row],[Revenue]]-tblOrders[[#This Row],[Cost]]</f>
        <v>1950</v>
      </c>
      <c r="P89" t="str">
        <f>TEXT(tblOrders[[#This Row],[OrderDate]],"mmm")</f>
        <v>Jul</v>
      </c>
    </row>
    <row r="90" spans="1:16" x14ac:dyDescent="0.25">
      <c r="A90" t="s">
        <v>293</v>
      </c>
      <c r="B90" s="2">
        <v>45879</v>
      </c>
      <c r="C90" t="s">
        <v>144</v>
      </c>
      <c r="D90" t="s">
        <v>11</v>
      </c>
      <c r="E90" t="s">
        <v>12</v>
      </c>
      <c r="F90" t="s">
        <v>13</v>
      </c>
      <c r="G90">
        <v>4</v>
      </c>
      <c r="H90">
        <v>2000</v>
      </c>
      <c r="I90">
        <v>0.15</v>
      </c>
      <c r="J90" t="str">
        <f>_xlfn.XLOOKUP(tblOrders[[#This Row],[ProductID]],Products!$A$2:$A$9,Products!$B$2:$B$9,"Unknown")</f>
        <v>Headset</v>
      </c>
      <c r="K90" t="str">
        <f>_xlfn.XLOOKUP(tblOrders[[#This Row],[ProductID]],Products!$A$2:$A$9,Products!$C$2:$C$9,"Unknown")</f>
        <v>Accessories</v>
      </c>
      <c r="L90">
        <f>_xlfn.XLOOKUP(tblOrders[[#This Row],[ProductID]],Products!$A$2:$A$9,Products!$D$2:$D$9,0)</f>
        <v>1300</v>
      </c>
      <c r="M90">
        <f>tblOrders[[#This Row],[Quantity]]*tblOrders[[#This Row],[UnitPrice]]*(1-tblOrders[[#This Row],[Discount]])</f>
        <v>6800</v>
      </c>
      <c r="N90">
        <f>tblOrders[[#This Row],[Quantity]]*tblOrders[[#This Row],[UnitCost]]</f>
        <v>5200</v>
      </c>
      <c r="O90">
        <f>tblOrders[[#This Row],[Revenue]]-tblOrders[[#This Row],[Cost]]</f>
        <v>1600</v>
      </c>
      <c r="P90" t="str">
        <f>TEXT(tblOrders[[#This Row],[OrderDate]],"mmm")</f>
        <v>Aug</v>
      </c>
    </row>
    <row r="91" spans="1:16" x14ac:dyDescent="0.25">
      <c r="A91" t="s">
        <v>841</v>
      </c>
      <c r="B91" s="2">
        <v>45832</v>
      </c>
      <c r="C91" t="s">
        <v>30</v>
      </c>
      <c r="D91" t="s">
        <v>16</v>
      </c>
      <c r="E91" t="s">
        <v>33</v>
      </c>
      <c r="F91" t="s">
        <v>43</v>
      </c>
      <c r="G91">
        <v>2</v>
      </c>
      <c r="H91">
        <v>1500</v>
      </c>
      <c r="I91">
        <v>0</v>
      </c>
      <c r="J91" t="str">
        <f>_xlfn.XLOOKUP(tblOrders[[#This Row],[ProductID]],Products!$A$2:$A$9,Products!$B$2:$B$9,"Unknown")</f>
        <v>Webcam</v>
      </c>
      <c r="K91" t="str">
        <f>_xlfn.XLOOKUP(tblOrders[[#This Row],[ProductID]],Products!$A$2:$A$9,Products!$C$2:$C$9,"Unknown")</f>
        <v>Accessories</v>
      </c>
      <c r="L91">
        <f>_xlfn.XLOOKUP(tblOrders[[#This Row],[ProductID]],Products!$A$2:$A$9,Products!$D$2:$D$9,0)</f>
        <v>980</v>
      </c>
      <c r="M91">
        <f>tblOrders[[#This Row],[Quantity]]*tblOrders[[#This Row],[UnitPrice]]*(1-tblOrders[[#This Row],[Discount]])</f>
        <v>3000</v>
      </c>
      <c r="N91">
        <f>tblOrders[[#This Row],[Quantity]]*tblOrders[[#This Row],[UnitCost]]</f>
        <v>1960</v>
      </c>
      <c r="O91">
        <f>tblOrders[[#This Row],[Revenue]]-tblOrders[[#This Row],[Cost]]</f>
        <v>1040</v>
      </c>
      <c r="P91" t="str">
        <f>TEXT(tblOrders[[#This Row],[OrderDate]],"mmm")</f>
        <v>Jun</v>
      </c>
    </row>
    <row r="92" spans="1:16" x14ac:dyDescent="0.25">
      <c r="A92" t="s">
        <v>520</v>
      </c>
      <c r="B92" s="2">
        <v>45985</v>
      </c>
      <c r="C92" t="s">
        <v>171</v>
      </c>
      <c r="D92" t="s">
        <v>21</v>
      </c>
      <c r="E92" t="s">
        <v>28</v>
      </c>
      <c r="F92" t="s">
        <v>55</v>
      </c>
      <c r="G92">
        <v>5</v>
      </c>
      <c r="H92">
        <v>8000</v>
      </c>
      <c r="I92">
        <v>0.15</v>
      </c>
      <c r="J92" t="str">
        <f>_xlfn.XLOOKUP(tblOrders[[#This Row],[ProductID]],Products!$A$2:$A$9,Products!$B$2:$B$9,"Unknown")</f>
        <v>Printer</v>
      </c>
      <c r="K92" t="str">
        <f>_xlfn.XLOOKUP(tblOrders[[#This Row],[ProductID]],Products!$A$2:$A$9,Products!$C$2:$C$9,"Unknown")</f>
        <v>Electronics</v>
      </c>
      <c r="L92">
        <f>_xlfn.XLOOKUP(tblOrders[[#This Row],[ProductID]],Products!$A$2:$A$9,Products!$D$2:$D$9,0)</f>
        <v>6200</v>
      </c>
      <c r="M92">
        <f>tblOrders[[#This Row],[Quantity]]*tblOrders[[#This Row],[UnitPrice]]*(1-tblOrders[[#This Row],[Discount]])</f>
        <v>34000</v>
      </c>
      <c r="N92">
        <f>tblOrders[[#This Row],[Quantity]]*tblOrders[[#This Row],[UnitCost]]</f>
        <v>31000</v>
      </c>
      <c r="O92">
        <f>tblOrders[[#This Row],[Revenue]]-tblOrders[[#This Row],[Cost]]</f>
        <v>3000</v>
      </c>
      <c r="P92" t="str">
        <f>TEXT(tblOrders[[#This Row],[OrderDate]],"mmm")</f>
        <v>Nov</v>
      </c>
    </row>
    <row r="93" spans="1:16" x14ac:dyDescent="0.25">
      <c r="A93" t="s">
        <v>492</v>
      </c>
      <c r="B93" s="2">
        <v>45768</v>
      </c>
      <c r="C93" t="s">
        <v>175</v>
      </c>
      <c r="D93" t="s">
        <v>39</v>
      </c>
      <c r="E93" t="s">
        <v>76</v>
      </c>
      <c r="F93" t="s">
        <v>69</v>
      </c>
      <c r="G93">
        <v>9</v>
      </c>
      <c r="H93">
        <v>12000</v>
      </c>
      <c r="I93">
        <v>0</v>
      </c>
      <c r="J93" t="str">
        <f>_xlfn.XLOOKUP(tblOrders[[#This Row],[ProductID]],Products!$A$2:$A$9,Products!$B$2:$B$9,"Unknown")</f>
        <v>Monitor</v>
      </c>
      <c r="K93" t="str">
        <f>_xlfn.XLOOKUP(tblOrders[[#This Row],[ProductID]],Products!$A$2:$A$9,Products!$C$2:$C$9,"Unknown")</f>
        <v>Electronics</v>
      </c>
      <c r="L93">
        <f>_xlfn.XLOOKUP(tblOrders[[#This Row],[ProductID]],Products!$A$2:$A$9,Products!$D$2:$D$9,0)</f>
        <v>9000</v>
      </c>
      <c r="M93">
        <f>tblOrders[[#This Row],[Quantity]]*tblOrders[[#This Row],[UnitPrice]]*(1-tblOrders[[#This Row],[Discount]])</f>
        <v>108000</v>
      </c>
      <c r="N93">
        <f>tblOrders[[#This Row],[Quantity]]*tblOrders[[#This Row],[UnitCost]]</f>
        <v>81000</v>
      </c>
      <c r="O93">
        <f>tblOrders[[#This Row],[Revenue]]-tblOrders[[#This Row],[Cost]]</f>
        <v>27000</v>
      </c>
      <c r="P93" t="str">
        <f>TEXT(tblOrders[[#This Row],[OrderDate]],"mmm")</f>
        <v>Apr</v>
      </c>
    </row>
    <row r="94" spans="1:16" x14ac:dyDescent="0.25">
      <c r="A94" t="s">
        <v>469</v>
      </c>
      <c r="B94" s="2">
        <v>45986</v>
      </c>
      <c r="C94" t="s">
        <v>71</v>
      </c>
      <c r="D94" t="s">
        <v>11</v>
      </c>
      <c r="E94" t="s">
        <v>12</v>
      </c>
      <c r="F94" t="s">
        <v>18</v>
      </c>
      <c r="G94">
        <v>13</v>
      </c>
      <c r="H94">
        <v>18000</v>
      </c>
      <c r="I94">
        <v>0.05</v>
      </c>
      <c r="J94" t="str">
        <f>_xlfn.XLOOKUP(tblOrders[[#This Row],[ProductID]],Products!$A$2:$A$9,Products!$B$2:$B$9,"Unknown")</f>
        <v>Tablet</v>
      </c>
      <c r="K94" t="str">
        <f>_xlfn.XLOOKUP(tblOrders[[#This Row],[ProductID]],Products!$A$2:$A$9,Products!$C$2:$C$9,"Unknown")</f>
        <v>Electronics</v>
      </c>
      <c r="L94">
        <f>_xlfn.XLOOKUP(tblOrders[[#This Row],[ProductID]],Products!$A$2:$A$9,Products!$D$2:$D$9,0)</f>
        <v>13500</v>
      </c>
      <c r="M94">
        <f>tblOrders[[#This Row],[Quantity]]*tblOrders[[#This Row],[UnitPrice]]*(1-tblOrders[[#This Row],[Discount]])</f>
        <v>222300</v>
      </c>
      <c r="N94">
        <f>tblOrders[[#This Row],[Quantity]]*tblOrders[[#This Row],[UnitCost]]</f>
        <v>175500</v>
      </c>
      <c r="O94">
        <f>tblOrders[[#This Row],[Revenue]]-tblOrders[[#This Row],[Cost]]</f>
        <v>46800</v>
      </c>
      <c r="P94" t="str">
        <f>TEXT(tblOrders[[#This Row],[OrderDate]],"mmm")</f>
        <v>Nov</v>
      </c>
    </row>
    <row r="95" spans="1:16" x14ac:dyDescent="0.25">
      <c r="A95" t="s">
        <v>411</v>
      </c>
      <c r="B95" s="2">
        <v>45716</v>
      </c>
      <c r="C95" t="s">
        <v>15</v>
      </c>
      <c r="D95" t="s">
        <v>21</v>
      </c>
      <c r="E95" t="s">
        <v>22</v>
      </c>
      <c r="F95" t="s">
        <v>55</v>
      </c>
      <c r="G95">
        <v>5</v>
      </c>
      <c r="H95">
        <v>8000</v>
      </c>
      <c r="I95">
        <v>0.05</v>
      </c>
      <c r="J95" t="str">
        <f>_xlfn.XLOOKUP(tblOrders[[#This Row],[ProductID]],Products!$A$2:$A$9,Products!$B$2:$B$9,"Unknown")</f>
        <v>Printer</v>
      </c>
      <c r="K95" t="str">
        <f>_xlfn.XLOOKUP(tblOrders[[#This Row],[ProductID]],Products!$A$2:$A$9,Products!$C$2:$C$9,"Unknown")</f>
        <v>Electronics</v>
      </c>
      <c r="L95">
        <f>_xlfn.XLOOKUP(tblOrders[[#This Row],[ProductID]],Products!$A$2:$A$9,Products!$D$2:$D$9,0)</f>
        <v>6200</v>
      </c>
      <c r="M95">
        <f>tblOrders[[#This Row],[Quantity]]*tblOrders[[#This Row],[UnitPrice]]*(1-tblOrders[[#This Row],[Discount]])</f>
        <v>38000</v>
      </c>
      <c r="N95">
        <f>tblOrders[[#This Row],[Quantity]]*tblOrders[[#This Row],[UnitCost]]</f>
        <v>31000</v>
      </c>
      <c r="O95">
        <f>tblOrders[[#This Row],[Revenue]]-tblOrders[[#This Row],[Cost]]</f>
        <v>7000</v>
      </c>
      <c r="P95" t="str">
        <f>TEXT(tblOrders[[#This Row],[OrderDate]],"mmm")</f>
        <v>Feb</v>
      </c>
    </row>
    <row r="96" spans="1:16" x14ac:dyDescent="0.25">
      <c r="A96" t="s">
        <v>219</v>
      </c>
      <c r="B96" s="2">
        <v>45758</v>
      </c>
      <c r="C96" t="s">
        <v>155</v>
      </c>
      <c r="D96" t="s">
        <v>39</v>
      </c>
      <c r="E96" t="s">
        <v>76</v>
      </c>
      <c r="F96" t="s">
        <v>34</v>
      </c>
      <c r="G96">
        <v>2</v>
      </c>
      <c r="H96">
        <v>55000</v>
      </c>
      <c r="I96">
        <v>0</v>
      </c>
      <c r="J96" t="str">
        <f>_xlfn.XLOOKUP(tblOrders[[#This Row],[ProductID]],Products!$A$2:$A$9,Products!$B$2:$B$9,"Unknown")</f>
        <v>Laptop</v>
      </c>
      <c r="K96" t="str">
        <f>_xlfn.XLOOKUP(tblOrders[[#This Row],[ProductID]],Products!$A$2:$A$9,Products!$C$2:$C$9,"Unknown")</f>
        <v>Electronics</v>
      </c>
      <c r="L96">
        <f>_xlfn.XLOOKUP(tblOrders[[#This Row],[ProductID]],Products!$A$2:$A$9,Products!$D$2:$D$9,0)</f>
        <v>41000</v>
      </c>
      <c r="M96">
        <f>tblOrders[[#This Row],[Quantity]]*tblOrders[[#This Row],[UnitPrice]]*(1-tblOrders[[#This Row],[Discount]])</f>
        <v>110000</v>
      </c>
      <c r="N96">
        <f>tblOrders[[#This Row],[Quantity]]*tblOrders[[#This Row],[UnitCost]]</f>
        <v>82000</v>
      </c>
      <c r="O96">
        <f>tblOrders[[#This Row],[Revenue]]-tblOrders[[#This Row],[Cost]]</f>
        <v>28000</v>
      </c>
      <c r="P96" t="str">
        <f>TEXT(tblOrders[[#This Row],[OrderDate]],"mmm")</f>
        <v>Apr</v>
      </c>
    </row>
    <row r="97" spans="1:16" x14ac:dyDescent="0.25">
      <c r="A97" t="s">
        <v>109</v>
      </c>
      <c r="B97" s="2">
        <v>45832</v>
      </c>
      <c r="C97" t="s">
        <v>63</v>
      </c>
      <c r="D97" t="s">
        <v>39</v>
      </c>
      <c r="E97" t="s">
        <v>40</v>
      </c>
      <c r="F97" t="s">
        <v>18</v>
      </c>
      <c r="G97">
        <v>11</v>
      </c>
      <c r="H97">
        <v>18000</v>
      </c>
      <c r="I97">
        <v>0.05</v>
      </c>
      <c r="J97" t="str">
        <f>_xlfn.XLOOKUP(tblOrders[[#This Row],[ProductID]],Products!$A$2:$A$9,Products!$B$2:$B$9,"Unknown")</f>
        <v>Tablet</v>
      </c>
      <c r="K97" t="str">
        <f>_xlfn.XLOOKUP(tblOrders[[#This Row],[ProductID]],Products!$A$2:$A$9,Products!$C$2:$C$9,"Unknown")</f>
        <v>Electronics</v>
      </c>
      <c r="L97">
        <f>_xlfn.XLOOKUP(tblOrders[[#This Row],[ProductID]],Products!$A$2:$A$9,Products!$D$2:$D$9,0)</f>
        <v>13500</v>
      </c>
      <c r="M97">
        <f>tblOrders[[#This Row],[Quantity]]*tblOrders[[#This Row],[UnitPrice]]*(1-tblOrders[[#This Row],[Discount]])</f>
        <v>188100</v>
      </c>
      <c r="N97">
        <f>tblOrders[[#This Row],[Quantity]]*tblOrders[[#This Row],[UnitCost]]</f>
        <v>148500</v>
      </c>
      <c r="O97">
        <f>tblOrders[[#This Row],[Revenue]]-tblOrders[[#This Row],[Cost]]</f>
        <v>39600</v>
      </c>
      <c r="P97" t="str">
        <f>TEXT(tblOrders[[#This Row],[OrderDate]],"mmm")</f>
        <v>Jun</v>
      </c>
    </row>
    <row r="98" spans="1:16" x14ac:dyDescent="0.25">
      <c r="A98" t="s">
        <v>494</v>
      </c>
      <c r="B98" s="2">
        <v>45939</v>
      </c>
      <c r="C98" t="s">
        <v>175</v>
      </c>
      <c r="D98" t="s">
        <v>21</v>
      </c>
      <c r="E98" t="s">
        <v>28</v>
      </c>
      <c r="F98" t="s">
        <v>13</v>
      </c>
      <c r="G98">
        <v>15</v>
      </c>
      <c r="H98">
        <v>2000</v>
      </c>
      <c r="I98">
        <v>0</v>
      </c>
      <c r="J98" t="str">
        <f>_xlfn.XLOOKUP(tblOrders[[#This Row],[ProductID]],Products!$A$2:$A$9,Products!$B$2:$B$9,"Unknown")</f>
        <v>Headset</v>
      </c>
      <c r="K98" t="str">
        <f>_xlfn.XLOOKUP(tblOrders[[#This Row],[ProductID]],Products!$A$2:$A$9,Products!$C$2:$C$9,"Unknown")</f>
        <v>Accessories</v>
      </c>
      <c r="L98">
        <f>_xlfn.XLOOKUP(tblOrders[[#This Row],[ProductID]],Products!$A$2:$A$9,Products!$D$2:$D$9,0)</f>
        <v>1300</v>
      </c>
      <c r="M98">
        <f>tblOrders[[#This Row],[Quantity]]*tblOrders[[#This Row],[UnitPrice]]*(1-tblOrders[[#This Row],[Discount]])</f>
        <v>30000</v>
      </c>
      <c r="N98">
        <f>tblOrders[[#This Row],[Quantity]]*tblOrders[[#This Row],[UnitCost]]</f>
        <v>19500</v>
      </c>
      <c r="O98">
        <f>tblOrders[[#This Row],[Revenue]]-tblOrders[[#This Row],[Cost]]</f>
        <v>10500</v>
      </c>
      <c r="P98" t="str">
        <f>TEXT(tblOrders[[#This Row],[OrderDate]],"mmm")</f>
        <v>Oct</v>
      </c>
    </row>
    <row r="99" spans="1:16" x14ac:dyDescent="0.25">
      <c r="A99" t="s">
        <v>756</v>
      </c>
      <c r="B99" s="2">
        <v>45744</v>
      </c>
      <c r="C99" t="s">
        <v>160</v>
      </c>
      <c r="D99" t="s">
        <v>39</v>
      </c>
      <c r="E99" t="s">
        <v>76</v>
      </c>
      <c r="F99" t="s">
        <v>34</v>
      </c>
      <c r="G99">
        <v>7</v>
      </c>
      <c r="H99">
        <v>55000</v>
      </c>
      <c r="I99">
        <v>0.05</v>
      </c>
      <c r="J99" t="str">
        <f>_xlfn.XLOOKUP(tblOrders[[#This Row],[ProductID]],Products!$A$2:$A$9,Products!$B$2:$B$9,"Unknown")</f>
        <v>Laptop</v>
      </c>
      <c r="K99" t="str">
        <f>_xlfn.XLOOKUP(tblOrders[[#This Row],[ProductID]],Products!$A$2:$A$9,Products!$C$2:$C$9,"Unknown")</f>
        <v>Electronics</v>
      </c>
      <c r="L99">
        <f>_xlfn.XLOOKUP(tblOrders[[#This Row],[ProductID]],Products!$A$2:$A$9,Products!$D$2:$D$9,0)</f>
        <v>41000</v>
      </c>
      <c r="M99">
        <f>tblOrders[[#This Row],[Quantity]]*tblOrders[[#This Row],[UnitPrice]]*(1-tblOrders[[#This Row],[Discount]])</f>
        <v>365750</v>
      </c>
      <c r="N99">
        <f>tblOrders[[#This Row],[Quantity]]*tblOrders[[#This Row],[UnitCost]]</f>
        <v>287000</v>
      </c>
      <c r="O99">
        <f>tblOrders[[#This Row],[Revenue]]-tblOrders[[#This Row],[Cost]]</f>
        <v>78750</v>
      </c>
      <c r="P99" t="str">
        <f>TEXT(tblOrders[[#This Row],[OrderDate]],"mmm")</f>
        <v>Mar</v>
      </c>
    </row>
    <row r="100" spans="1:16" x14ac:dyDescent="0.25">
      <c r="A100" t="s">
        <v>679</v>
      </c>
      <c r="B100" s="2">
        <v>45927</v>
      </c>
      <c r="C100" t="s">
        <v>32</v>
      </c>
      <c r="D100" t="s">
        <v>39</v>
      </c>
      <c r="E100" t="s">
        <v>76</v>
      </c>
      <c r="F100" t="s">
        <v>23</v>
      </c>
      <c r="G100">
        <v>6</v>
      </c>
      <c r="H100">
        <v>900</v>
      </c>
      <c r="I100">
        <v>0.1</v>
      </c>
      <c r="J100" t="str">
        <f>_xlfn.XLOOKUP(tblOrders[[#This Row],[ProductID]],Products!$A$2:$A$9,Products!$B$2:$B$9,"Unknown")</f>
        <v>Keyboard</v>
      </c>
      <c r="K100" t="str">
        <f>_xlfn.XLOOKUP(tblOrders[[#This Row],[ProductID]],Products!$A$2:$A$9,Products!$C$2:$C$9,"Unknown")</f>
        <v>Accessories</v>
      </c>
      <c r="L100">
        <f>_xlfn.XLOOKUP(tblOrders[[#This Row],[ProductID]],Products!$A$2:$A$9,Products!$D$2:$D$9,0)</f>
        <v>600</v>
      </c>
      <c r="M100">
        <f>tblOrders[[#This Row],[Quantity]]*tblOrders[[#This Row],[UnitPrice]]*(1-tblOrders[[#This Row],[Discount]])</f>
        <v>4860</v>
      </c>
      <c r="N100">
        <f>tblOrders[[#This Row],[Quantity]]*tblOrders[[#This Row],[UnitCost]]</f>
        <v>3600</v>
      </c>
      <c r="O100">
        <f>tblOrders[[#This Row],[Revenue]]-tblOrders[[#This Row],[Cost]]</f>
        <v>1260</v>
      </c>
      <c r="P100" t="str">
        <f>TEXT(tblOrders[[#This Row],[OrderDate]],"mmm")</f>
        <v>Sep</v>
      </c>
    </row>
    <row r="101" spans="1:16" x14ac:dyDescent="0.25">
      <c r="A101" t="s">
        <v>185</v>
      </c>
      <c r="B101" s="2">
        <v>45993</v>
      </c>
      <c r="C101" t="s">
        <v>149</v>
      </c>
      <c r="D101" t="s">
        <v>16</v>
      </c>
      <c r="E101" t="s">
        <v>33</v>
      </c>
      <c r="F101" t="s">
        <v>23</v>
      </c>
      <c r="G101">
        <v>11</v>
      </c>
      <c r="H101">
        <v>900</v>
      </c>
      <c r="I101">
        <v>0.15</v>
      </c>
      <c r="J101" t="str">
        <f>_xlfn.XLOOKUP(tblOrders[[#This Row],[ProductID]],Products!$A$2:$A$9,Products!$B$2:$B$9,"Unknown")</f>
        <v>Keyboard</v>
      </c>
      <c r="K101" t="str">
        <f>_xlfn.XLOOKUP(tblOrders[[#This Row],[ProductID]],Products!$A$2:$A$9,Products!$C$2:$C$9,"Unknown")</f>
        <v>Accessories</v>
      </c>
      <c r="L101">
        <f>_xlfn.XLOOKUP(tblOrders[[#This Row],[ProductID]],Products!$A$2:$A$9,Products!$D$2:$D$9,0)</f>
        <v>600</v>
      </c>
      <c r="M101">
        <f>tblOrders[[#This Row],[Quantity]]*tblOrders[[#This Row],[UnitPrice]]*(1-tblOrders[[#This Row],[Discount]])</f>
        <v>8415</v>
      </c>
      <c r="N101">
        <f>tblOrders[[#This Row],[Quantity]]*tblOrders[[#This Row],[UnitCost]]</f>
        <v>6600</v>
      </c>
      <c r="O101">
        <f>tblOrders[[#This Row],[Revenue]]-tblOrders[[#This Row],[Cost]]</f>
        <v>1815</v>
      </c>
      <c r="P101" t="str">
        <f>TEXT(tblOrders[[#This Row],[OrderDate]],"mmm")</f>
        <v>Dec</v>
      </c>
    </row>
    <row r="102" spans="1:16" x14ac:dyDescent="0.25">
      <c r="A102" t="s">
        <v>715</v>
      </c>
      <c r="B102" s="2">
        <v>45671</v>
      </c>
      <c r="C102" t="s">
        <v>54</v>
      </c>
      <c r="D102" t="s">
        <v>21</v>
      </c>
      <c r="E102" t="s">
        <v>22</v>
      </c>
      <c r="F102" t="s">
        <v>55</v>
      </c>
      <c r="G102">
        <v>10</v>
      </c>
      <c r="H102">
        <v>8000</v>
      </c>
      <c r="I102">
        <v>0</v>
      </c>
      <c r="J102" t="str">
        <f>_xlfn.XLOOKUP(tblOrders[[#This Row],[ProductID]],Products!$A$2:$A$9,Products!$B$2:$B$9,"Unknown")</f>
        <v>Printer</v>
      </c>
      <c r="K102" t="str">
        <f>_xlfn.XLOOKUP(tblOrders[[#This Row],[ProductID]],Products!$A$2:$A$9,Products!$C$2:$C$9,"Unknown")</f>
        <v>Electronics</v>
      </c>
      <c r="L102">
        <f>_xlfn.XLOOKUP(tblOrders[[#This Row],[ProductID]],Products!$A$2:$A$9,Products!$D$2:$D$9,0)</f>
        <v>6200</v>
      </c>
      <c r="M102">
        <f>tblOrders[[#This Row],[Quantity]]*tblOrders[[#This Row],[UnitPrice]]*(1-tblOrders[[#This Row],[Discount]])</f>
        <v>80000</v>
      </c>
      <c r="N102">
        <f>tblOrders[[#This Row],[Quantity]]*tblOrders[[#This Row],[UnitCost]]</f>
        <v>62000</v>
      </c>
      <c r="O102">
        <f>tblOrders[[#This Row],[Revenue]]-tblOrders[[#This Row],[Cost]]</f>
        <v>18000</v>
      </c>
      <c r="P102" t="str">
        <f>TEXT(tblOrders[[#This Row],[OrderDate]],"mmm")</f>
        <v>Jan</v>
      </c>
    </row>
    <row r="103" spans="1:16" x14ac:dyDescent="0.25">
      <c r="A103" t="s">
        <v>304</v>
      </c>
      <c r="B103" s="2">
        <v>45867</v>
      </c>
      <c r="C103" t="s">
        <v>149</v>
      </c>
      <c r="D103" t="s">
        <v>39</v>
      </c>
      <c r="E103" t="s">
        <v>76</v>
      </c>
      <c r="F103" t="s">
        <v>34</v>
      </c>
      <c r="G103">
        <v>15</v>
      </c>
      <c r="H103">
        <v>55000</v>
      </c>
      <c r="I103">
        <v>0</v>
      </c>
      <c r="J103" t="str">
        <f>_xlfn.XLOOKUP(tblOrders[[#This Row],[ProductID]],Products!$A$2:$A$9,Products!$B$2:$B$9,"Unknown")</f>
        <v>Laptop</v>
      </c>
      <c r="K103" t="str">
        <f>_xlfn.XLOOKUP(tblOrders[[#This Row],[ProductID]],Products!$A$2:$A$9,Products!$C$2:$C$9,"Unknown")</f>
        <v>Electronics</v>
      </c>
      <c r="L103">
        <f>_xlfn.XLOOKUP(tblOrders[[#This Row],[ProductID]],Products!$A$2:$A$9,Products!$D$2:$D$9,0)</f>
        <v>41000</v>
      </c>
      <c r="M103">
        <f>tblOrders[[#This Row],[Quantity]]*tblOrders[[#This Row],[UnitPrice]]*(1-tblOrders[[#This Row],[Discount]])</f>
        <v>825000</v>
      </c>
      <c r="N103">
        <f>tblOrders[[#This Row],[Quantity]]*tblOrders[[#This Row],[UnitCost]]</f>
        <v>615000</v>
      </c>
      <c r="O103">
        <f>tblOrders[[#This Row],[Revenue]]-tblOrders[[#This Row],[Cost]]</f>
        <v>210000</v>
      </c>
      <c r="P103" t="str">
        <f>TEXT(tblOrders[[#This Row],[OrderDate]],"mmm")</f>
        <v>Jul</v>
      </c>
    </row>
    <row r="104" spans="1:16" x14ac:dyDescent="0.25">
      <c r="A104" t="s">
        <v>217</v>
      </c>
      <c r="B104" s="2">
        <v>45786</v>
      </c>
      <c r="C104" t="s">
        <v>80</v>
      </c>
      <c r="D104" t="s">
        <v>11</v>
      </c>
      <c r="E104" t="s">
        <v>46</v>
      </c>
      <c r="F104" t="s">
        <v>34</v>
      </c>
      <c r="G104">
        <v>9</v>
      </c>
      <c r="H104">
        <v>55000</v>
      </c>
      <c r="I104">
        <v>0</v>
      </c>
      <c r="J104" t="str">
        <f>_xlfn.XLOOKUP(tblOrders[[#This Row],[ProductID]],Products!$A$2:$A$9,Products!$B$2:$B$9,"Unknown")</f>
        <v>Laptop</v>
      </c>
      <c r="K104" t="str">
        <f>_xlfn.XLOOKUP(tblOrders[[#This Row],[ProductID]],Products!$A$2:$A$9,Products!$C$2:$C$9,"Unknown")</f>
        <v>Electronics</v>
      </c>
      <c r="L104">
        <f>_xlfn.XLOOKUP(tblOrders[[#This Row],[ProductID]],Products!$A$2:$A$9,Products!$D$2:$D$9,0)</f>
        <v>41000</v>
      </c>
      <c r="M104">
        <f>tblOrders[[#This Row],[Quantity]]*tblOrders[[#This Row],[UnitPrice]]*(1-tblOrders[[#This Row],[Discount]])</f>
        <v>495000</v>
      </c>
      <c r="N104">
        <f>tblOrders[[#This Row],[Quantity]]*tblOrders[[#This Row],[UnitCost]]</f>
        <v>369000</v>
      </c>
      <c r="O104">
        <f>tblOrders[[#This Row],[Revenue]]-tblOrders[[#This Row],[Cost]]</f>
        <v>126000</v>
      </c>
      <c r="P104" t="str">
        <f>TEXT(tblOrders[[#This Row],[OrderDate]],"mmm")</f>
        <v>May</v>
      </c>
    </row>
    <row r="105" spans="1:16" x14ac:dyDescent="0.25">
      <c r="A105" t="s">
        <v>892</v>
      </c>
      <c r="B105" s="2">
        <v>45731</v>
      </c>
      <c r="C105" t="s">
        <v>160</v>
      </c>
      <c r="D105" t="s">
        <v>11</v>
      </c>
      <c r="E105" t="s">
        <v>46</v>
      </c>
      <c r="F105" t="s">
        <v>18</v>
      </c>
      <c r="G105">
        <v>1</v>
      </c>
      <c r="H105">
        <v>18000</v>
      </c>
      <c r="I105">
        <v>0.1</v>
      </c>
      <c r="J105" t="str">
        <f>_xlfn.XLOOKUP(tblOrders[[#This Row],[ProductID]],Products!$A$2:$A$9,Products!$B$2:$B$9,"Unknown")</f>
        <v>Tablet</v>
      </c>
      <c r="K105" t="str">
        <f>_xlfn.XLOOKUP(tblOrders[[#This Row],[ProductID]],Products!$A$2:$A$9,Products!$C$2:$C$9,"Unknown")</f>
        <v>Electronics</v>
      </c>
      <c r="L105">
        <f>_xlfn.XLOOKUP(tblOrders[[#This Row],[ProductID]],Products!$A$2:$A$9,Products!$D$2:$D$9,0)</f>
        <v>13500</v>
      </c>
      <c r="M105">
        <f>tblOrders[[#This Row],[Quantity]]*tblOrders[[#This Row],[UnitPrice]]*(1-tblOrders[[#This Row],[Discount]])</f>
        <v>16200</v>
      </c>
      <c r="N105">
        <f>tblOrders[[#This Row],[Quantity]]*tblOrders[[#This Row],[UnitCost]]</f>
        <v>13500</v>
      </c>
      <c r="O105">
        <f>tblOrders[[#This Row],[Revenue]]-tblOrders[[#This Row],[Cost]]</f>
        <v>2700</v>
      </c>
      <c r="P105" t="str">
        <f>TEXT(tblOrders[[#This Row],[OrderDate]],"mmm")</f>
        <v>Mar</v>
      </c>
    </row>
    <row r="106" spans="1:16" x14ac:dyDescent="0.25">
      <c r="A106" t="s">
        <v>452</v>
      </c>
      <c r="B106" s="2">
        <v>45718</v>
      </c>
      <c r="C106" t="s">
        <v>103</v>
      </c>
      <c r="D106" t="s">
        <v>11</v>
      </c>
      <c r="E106" t="s">
        <v>12</v>
      </c>
      <c r="F106" t="s">
        <v>34</v>
      </c>
      <c r="G106">
        <v>6</v>
      </c>
      <c r="H106">
        <v>55000</v>
      </c>
      <c r="I106">
        <v>0.1</v>
      </c>
      <c r="J106" t="str">
        <f>_xlfn.XLOOKUP(tblOrders[[#This Row],[ProductID]],Products!$A$2:$A$9,Products!$B$2:$B$9,"Unknown")</f>
        <v>Laptop</v>
      </c>
      <c r="K106" t="str">
        <f>_xlfn.XLOOKUP(tblOrders[[#This Row],[ProductID]],Products!$A$2:$A$9,Products!$C$2:$C$9,"Unknown")</f>
        <v>Electronics</v>
      </c>
      <c r="L106">
        <f>_xlfn.XLOOKUP(tblOrders[[#This Row],[ProductID]],Products!$A$2:$A$9,Products!$D$2:$D$9,0)</f>
        <v>41000</v>
      </c>
      <c r="M106">
        <f>tblOrders[[#This Row],[Quantity]]*tblOrders[[#This Row],[UnitPrice]]*(1-tblOrders[[#This Row],[Discount]])</f>
        <v>297000</v>
      </c>
      <c r="N106">
        <f>tblOrders[[#This Row],[Quantity]]*tblOrders[[#This Row],[UnitCost]]</f>
        <v>246000</v>
      </c>
      <c r="O106">
        <f>tblOrders[[#This Row],[Revenue]]-tblOrders[[#This Row],[Cost]]</f>
        <v>51000</v>
      </c>
      <c r="P106" t="str">
        <f>TEXT(tblOrders[[#This Row],[OrderDate]],"mmm")</f>
        <v>Mar</v>
      </c>
    </row>
    <row r="107" spans="1:16" x14ac:dyDescent="0.25">
      <c r="A107" t="s">
        <v>208</v>
      </c>
      <c r="B107" s="2">
        <v>45844</v>
      </c>
      <c r="C107" t="s">
        <v>90</v>
      </c>
      <c r="D107" t="s">
        <v>39</v>
      </c>
      <c r="E107" t="s">
        <v>76</v>
      </c>
      <c r="F107" t="s">
        <v>69</v>
      </c>
      <c r="G107">
        <v>11</v>
      </c>
      <c r="H107">
        <v>12000</v>
      </c>
      <c r="I107">
        <v>0.05</v>
      </c>
      <c r="J107" t="str">
        <f>_xlfn.XLOOKUP(tblOrders[[#This Row],[ProductID]],Products!$A$2:$A$9,Products!$B$2:$B$9,"Unknown")</f>
        <v>Monitor</v>
      </c>
      <c r="K107" t="str">
        <f>_xlfn.XLOOKUP(tblOrders[[#This Row],[ProductID]],Products!$A$2:$A$9,Products!$C$2:$C$9,"Unknown")</f>
        <v>Electronics</v>
      </c>
      <c r="L107">
        <f>_xlfn.XLOOKUP(tblOrders[[#This Row],[ProductID]],Products!$A$2:$A$9,Products!$D$2:$D$9,0)</f>
        <v>9000</v>
      </c>
      <c r="M107">
        <f>tblOrders[[#This Row],[Quantity]]*tblOrders[[#This Row],[UnitPrice]]*(1-tblOrders[[#This Row],[Discount]])</f>
        <v>125400</v>
      </c>
      <c r="N107">
        <f>tblOrders[[#This Row],[Quantity]]*tblOrders[[#This Row],[UnitCost]]</f>
        <v>99000</v>
      </c>
      <c r="O107">
        <f>tblOrders[[#This Row],[Revenue]]-tblOrders[[#This Row],[Cost]]</f>
        <v>26400</v>
      </c>
      <c r="P107" t="str">
        <f>TEXT(tblOrders[[#This Row],[OrderDate]],"mmm")</f>
        <v>Jul</v>
      </c>
    </row>
    <row r="108" spans="1:16" x14ac:dyDescent="0.25">
      <c r="A108" t="s">
        <v>563</v>
      </c>
      <c r="B108" s="2">
        <v>45985</v>
      </c>
      <c r="C108" t="s">
        <v>195</v>
      </c>
      <c r="D108" t="s">
        <v>39</v>
      </c>
      <c r="E108" t="s">
        <v>40</v>
      </c>
      <c r="F108" t="s">
        <v>64</v>
      </c>
      <c r="G108">
        <v>13</v>
      </c>
      <c r="H108">
        <v>500</v>
      </c>
      <c r="I108">
        <v>0.15</v>
      </c>
      <c r="J108" t="str">
        <f>_xlfn.XLOOKUP(tblOrders[[#This Row],[ProductID]],Products!$A$2:$A$9,Products!$B$2:$B$9,"Unknown")</f>
        <v>Mouse</v>
      </c>
      <c r="K108" t="str">
        <f>_xlfn.XLOOKUP(tblOrders[[#This Row],[ProductID]],Products!$A$2:$A$9,Products!$C$2:$C$9,"Unknown")</f>
        <v>Accessories</v>
      </c>
      <c r="L108">
        <f>_xlfn.XLOOKUP(tblOrders[[#This Row],[ProductID]],Products!$A$2:$A$9,Products!$D$2:$D$9,0)</f>
        <v>320</v>
      </c>
      <c r="M108">
        <f>tblOrders[[#This Row],[Quantity]]*tblOrders[[#This Row],[UnitPrice]]*(1-tblOrders[[#This Row],[Discount]])</f>
        <v>5525</v>
      </c>
      <c r="N108">
        <f>tblOrders[[#This Row],[Quantity]]*tblOrders[[#This Row],[UnitCost]]</f>
        <v>4160</v>
      </c>
      <c r="O108">
        <f>tblOrders[[#This Row],[Revenue]]-tblOrders[[#This Row],[Cost]]</f>
        <v>1365</v>
      </c>
      <c r="P108" t="str">
        <f>TEXT(tblOrders[[#This Row],[OrderDate]],"mmm")</f>
        <v>Nov</v>
      </c>
    </row>
    <row r="109" spans="1:16" x14ac:dyDescent="0.25">
      <c r="A109" t="s">
        <v>1007</v>
      </c>
      <c r="B109" s="2">
        <v>45806</v>
      </c>
      <c r="C109" t="s">
        <v>151</v>
      </c>
      <c r="D109" t="s">
        <v>11</v>
      </c>
      <c r="E109" t="s">
        <v>46</v>
      </c>
      <c r="F109" t="s">
        <v>55</v>
      </c>
      <c r="G109">
        <v>8</v>
      </c>
      <c r="H109">
        <v>8000</v>
      </c>
      <c r="I109">
        <v>0</v>
      </c>
      <c r="J109" t="str">
        <f>_xlfn.XLOOKUP(tblOrders[[#This Row],[ProductID]],Products!$A$2:$A$9,Products!$B$2:$B$9,"Unknown")</f>
        <v>Printer</v>
      </c>
      <c r="K109" t="str">
        <f>_xlfn.XLOOKUP(tblOrders[[#This Row],[ProductID]],Products!$A$2:$A$9,Products!$C$2:$C$9,"Unknown")</f>
        <v>Electronics</v>
      </c>
      <c r="L109">
        <f>_xlfn.XLOOKUP(tblOrders[[#This Row],[ProductID]],Products!$A$2:$A$9,Products!$D$2:$D$9,0)</f>
        <v>6200</v>
      </c>
      <c r="M109">
        <f>tblOrders[[#This Row],[Quantity]]*tblOrders[[#This Row],[UnitPrice]]*(1-tblOrders[[#This Row],[Discount]])</f>
        <v>64000</v>
      </c>
      <c r="N109">
        <f>tblOrders[[#This Row],[Quantity]]*tblOrders[[#This Row],[UnitCost]]</f>
        <v>49600</v>
      </c>
      <c r="O109">
        <f>tblOrders[[#This Row],[Revenue]]-tblOrders[[#This Row],[Cost]]</f>
        <v>14400</v>
      </c>
      <c r="P109" t="str">
        <f>TEXT(tblOrders[[#This Row],[OrderDate]],"mmm")</f>
        <v>May</v>
      </c>
    </row>
    <row r="110" spans="1:16" x14ac:dyDescent="0.25">
      <c r="A110" t="s">
        <v>850</v>
      </c>
      <c r="B110" s="2">
        <v>45917</v>
      </c>
      <c r="C110" t="s">
        <v>85</v>
      </c>
      <c r="D110" t="s">
        <v>16</v>
      </c>
      <c r="E110" t="s">
        <v>17</v>
      </c>
      <c r="F110" t="s">
        <v>23</v>
      </c>
      <c r="G110">
        <v>5</v>
      </c>
      <c r="H110">
        <v>900</v>
      </c>
      <c r="I110">
        <v>0.1</v>
      </c>
      <c r="J110" t="str">
        <f>_xlfn.XLOOKUP(tblOrders[[#This Row],[ProductID]],Products!$A$2:$A$9,Products!$B$2:$B$9,"Unknown")</f>
        <v>Keyboard</v>
      </c>
      <c r="K110" t="str">
        <f>_xlfn.XLOOKUP(tblOrders[[#This Row],[ProductID]],Products!$A$2:$A$9,Products!$C$2:$C$9,"Unknown")</f>
        <v>Accessories</v>
      </c>
      <c r="L110">
        <f>_xlfn.XLOOKUP(tblOrders[[#This Row],[ProductID]],Products!$A$2:$A$9,Products!$D$2:$D$9,0)</f>
        <v>600</v>
      </c>
      <c r="M110">
        <f>tblOrders[[#This Row],[Quantity]]*tblOrders[[#This Row],[UnitPrice]]*(1-tblOrders[[#This Row],[Discount]])</f>
        <v>4050</v>
      </c>
      <c r="N110">
        <f>tblOrders[[#This Row],[Quantity]]*tblOrders[[#This Row],[UnitCost]]</f>
        <v>3000</v>
      </c>
      <c r="O110">
        <f>tblOrders[[#This Row],[Revenue]]-tblOrders[[#This Row],[Cost]]</f>
        <v>1050</v>
      </c>
      <c r="P110" t="str">
        <f>TEXT(tblOrders[[#This Row],[OrderDate]],"mmm")</f>
        <v>Sep</v>
      </c>
    </row>
    <row r="111" spans="1:16" x14ac:dyDescent="0.25">
      <c r="A111" t="s">
        <v>697</v>
      </c>
      <c r="B111" s="2">
        <v>45982</v>
      </c>
      <c r="C111" t="s">
        <v>151</v>
      </c>
      <c r="D111" t="s">
        <v>16</v>
      </c>
      <c r="E111" t="s">
        <v>17</v>
      </c>
      <c r="F111" t="s">
        <v>55</v>
      </c>
      <c r="G111">
        <v>4</v>
      </c>
      <c r="H111">
        <v>8000</v>
      </c>
      <c r="I111">
        <v>0</v>
      </c>
      <c r="J111" t="str">
        <f>_xlfn.XLOOKUP(tblOrders[[#This Row],[ProductID]],Products!$A$2:$A$9,Products!$B$2:$B$9,"Unknown")</f>
        <v>Printer</v>
      </c>
      <c r="K111" t="str">
        <f>_xlfn.XLOOKUP(tblOrders[[#This Row],[ProductID]],Products!$A$2:$A$9,Products!$C$2:$C$9,"Unknown")</f>
        <v>Electronics</v>
      </c>
      <c r="L111">
        <f>_xlfn.XLOOKUP(tblOrders[[#This Row],[ProductID]],Products!$A$2:$A$9,Products!$D$2:$D$9,0)</f>
        <v>6200</v>
      </c>
      <c r="M111">
        <f>tblOrders[[#This Row],[Quantity]]*tblOrders[[#This Row],[UnitPrice]]*(1-tblOrders[[#This Row],[Discount]])</f>
        <v>32000</v>
      </c>
      <c r="N111">
        <f>tblOrders[[#This Row],[Quantity]]*tblOrders[[#This Row],[UnitCost]]</f>
        <v>24800</v>
      </c>
      <c r="O111">
        <f>tblOrders[[#This Row],[Revenue]]-tblOrders[[#This Row],[Cost]]</f>
        <v>7200</v>
      </c>
      <c r="P111" t="str">
        <f>TEXT(tblOrders[[#This Row],[OrderDate]],"mmm")</f>
        <v>Nov</v>
      </c>
    </row>
    <row r="112" spans="1:16" x14ac:dyDescent="0.25">
      <c r="A112" t="s">
        <v>291</v>
      </c>
      <c r="B112" s="2">
        <v>46007</v>
      </c>
      <c r="C112" t="s">
        <v>155</v>
      </c>
      <c r="D112" t="s">
        <v>21</v>
      </c>
      <c r="E112" t="s">
        <v>28</v>
      </c>
      <c r="F112" t="s">
        <v>34</v>
      </c>
      <c r="G112">
        <v>1</v>
      </c>
      <c r="H112">
        <v>55000</v>
      </c>
      <c r="I112">
        <v>0</v>
      </c>
      <c r="J112" t="str">
        <f>_xlfn.XLOOKUP(tblOrders[[#This Row],[ProductID]],Products!$A$2:$A$9,Products!$B$2:$B$9,"Unknown")</f>
        <v>Laptop</v>
      </c>
      <c r="K112" t="str">
        <f>_xlfn.XLOOKUP(tblOrders[[#This Row],[ProductID]],Products!$A$2:$A$9,Products!$C$2:$C$9,"Unknown")</f>
        <v>Electronics</v>
      </c>
      <c r="L112">
        <f>_xlfn.XLOOKUP(tblOrders[[#This Row],[ProductID]],Products!$A$2:$A$9,Products!$D$2:$D$9,0)</f>
        <v>41000</v>
      </c>
      <c r="M112">
        <f>tblOrders[[#This Row],[Quantity]]*tblOrders[[#This Row],[UnitPrice]]*(1-tblOrders[[#This Row],[Discount]])</f>
        <v>55000</v>
      </c>
      <c r="N112">
        <f>tblOrders[[#This Row],[Quantity]]*tblOrders[[#This Row],[UnitCost]]</f>
        <v>41000</v>
      </c>
      <c r="O112">
        <f>tblOrders[[#This Row],[Revenue]]-tblOrders[[#This Row],[Cost]]</f>
        <v>14000</v>
      </c>
      <c r="P112" t="str">
        <f>TEXT(tblOrders[[#This Row],[OrderDate]],"mmm")</f>
        <v>Dec</v>
      </c>
    </row>
    <row r="113" spans="1:16" x14ac:dyDescent="0.25">
      <c r="A113" t="s">
        <v>349</v>
      </c>
      <c r="B113" s="2">
        <v>45671</v>
      </c>
      <c r="C113" t="s">
        <v>25</v>
      </c>
      <c r="D113" t="s">
        <v>21</v>
      </c>
      <c r="E113" t="s">
        <v>22</v>
      </c>
      <c r="F113" t="s">
        <v>18</v>
      </c>
      <c r="G113">
        <v>4</v>
      </c>
      <c r="H113">
        <v>18000</v>
      </c>
      <c r="I113">
        <v>0.1</v>
      </c>
      <c r="J113" t="str">
        <f>_xlfn.XLOOKUP(tblOrders[[#This Row],[ProductID]],Products!$A$2:$A$9,Products!$B$2:$B$9,"Unknown")</f>
        <v>Tablet</v>
      </c>
      <c r="K113" t="str">
        <f>_xlfn.XLOOKUP(tblOrders[[#This Row],[ProductID]],Products!$A$2:$A$9,Products!$C$2:$C$9,"Unknown")</f>
        <v>Electronics</v>
      </c>
      <c r="L113">
        <f>_xlfn.XLOOKUP(tblOrders[[#This Row],[ProductID]],Products!$A$2:$A$9,Products!$D$2:$D$9,0)</f>
        <v>13500</v>
      </c>
      <c r="M113">
        <f>tblOrders[[#This Row],[Quantity]]*tblOrders[[#This Row],[UnitPrice]]*(1-tblOrders[[#This Row],[Discount]])</f>
        <v>64800</v>
      </c>
      <c r="N113">
        <f>tblOrders[[#This Row],[Quantity]]*tblOrders[[#This Row],[UnitCost]]</f>
        <v>54000</v>
      </c>
      <c r="O113">
        <f>tblOrders[[#This Row],[Revenue]]-tblOrders[[#This Row],[Cost]]</f>
        <v>10800</v>
      </c>
      <c r="P113" t="str">
        <f>TEXT(tblOrders[[#This Row],[OrderDate]],"mmm")</f>
        <v>Jan</v>
      </c>
    </row>
    <row r="114" spans="1:16" x14ac:dyDescent="0.25">
      <c r="A114" t="s">
        <v>173</v>
      </c>
      <c r="B114" s="2">
        <v>45702</v>
      </c>
      <c r="C114" t="s">
        <v>45</v>
      </c>
      <c r="D114" t="s">
        <v>11</v>
      </c>
      <c r="E114" t="s">
        <v>46</v>
      </c>
      <c r="F114" t="s">
        <v>55</v>
      </c>
      <c r="G114">
        <v>11</v>
      </c>
      <c r="H114">
        <v>8000</v>
      </c>
      <c r="I114">
        <v>0</v>
      </c>
      <c r="J114" t="str">
        <f>_xlfn.XLOOKUP(tblOrders[[#This Row],[ProductID]],Products!$A$2:$A$9,Products!$B$2:$B$9,"Unknown")</f>
        <v>Printer</v>
      </c>
      <c r="K114" t="str">
        <f>_xlfn.XLOOKUP(tblOrders[[#This Row],[ProductID]],Products!$A$2:$A$9,Products!$C$2:$C$9,"Unknown")</f>
        <v>Electronics</v>
      </c>
      <c r="L114">
        <f>_xlfn.XLOOKUP(tblOrders[[#This Row],[ProductID]],Products!$A$2:$A$9,Products!$D$2:$D$9,0)</f>
        <v>6200</v>
      </c>
      <c r="M114">
        <f>tblOrders[[#This Row],[Quantity]]*tblOrders[[#This Row],[UnitPrice]]*(1-tblOrders[[#This Row],[Discount]])</f>
        <v>88000</v>
      </c>
      <c r="N114">
        <f>tblOrders[[#This Row],[Quantity]]*tblOrders[[#This Row],[UnitCost]]</f>
        <v>68200</v>
      </c>
      <c r="O114">
        <f>tblOrders[[#This Row],[Revenue]]-tblOrders[[#This Row],[Cost]]</f>
        <v>19800</v>
      </c>
      <c r="P114" t="str">
        <f>TEXT(tblOrders[[#This Row],[OrderDate]],"mmm")</f>
        <v>Feb</v>
      </c>
    </row>
    <row r="115" spans="1:16" x14ac:dyDescent="0.25">
      <c r="A115" t="s">
        <v>251</v>
      </c>
      <c r="B115" s="2">
        <v>45839</v>
      </c>
      <c r="C115" t="s">
        <v>149</v>
      </c>
      <c r="D115" t="s">
        <v>11</v>
      </c>
      <c r="E115" t="s">
        <v>12</v>
      </c>
      <c r="F115" t="s">
        <v>64</v>
      </c>
      <c r="G115">
        <v>6</v>
      </c>
      <c r="H115">
        <v>500</v>
      </c>
      <c r="I115">
        <v>0.05</v>
      </c>
      <c r="J115" t="str">
        <f>_xlfn.XLOOKUP(tblOrders[[#This Row],[ProductID]],Products!$A$2:$A$9,Products!$B$2:$B$9,"Unknown")</f>
        <v>Mouse</v>
      </c>
      <c r="K115" t="str">
        <f>_xlfn.XLOOKUP(tblOrders[[#This Row],[ProductID]],Products!$A$2:$A$9,Products!$C$2:$C$9,"Unknown")</f>
        <v>Accessories</v>
      </c>
      <c r="L115">
        <f>_xlfn.XLOOKUP(tblOrders[[#This Row],[ProductID]],Products!$A$2:$A$9,Products!$D$2:$D$9,0)</f>
        <v>320</v>
      </c>
      <c r="M115">
        <f>tblOrders[[#This Row],[Quantity]]*tblOrders[[#This Row],[UnitPrice]]*(1-tblOrders[[#This Row],[Discount]])</f>
        <v>2850</v>
      </c>
      <c r="N115">
        <f>tblOrders[[#This Row],[Quantity]]*tblOrders[[#This Row],[UnitCost]]</f>
        <v>1920</v>
      </c>
      <c r="O115">
        <f>tblOrders[[#This Row],[Revenue]]-tblOrders[[#This Row],[Cost]]</f>
        <v>930</v>
      </c>
      <c r="P115" t="str">
        <f>TEXT(tblOrders[[#This Row],[OrderDate]],"mmm")</f>
        <v>Jul</v>
      </c>
    </row>
    <row r="116" spans="1:16" x14ac:dyDescent="0.25">
      <c r="A116" t="s">
        <v>1045</v>
      </c>
      <c r="B116" s="2">
        <v>45696</v>
      </c>
      <c r="C116" t="s">
        <v>138</v>
      </c>
      <c r="D116" t="s">
        <v>21</v>
      </c>
      <c r="E116" t="s">
        <v>22</v>
      </c>
      <c r="F116" t="s">
        <v>43</v>
      </c>
      <c r="G116">
        <v>13</v>
      </c>
      <c r="H116">
        <v>1500</v>
      </c>
      <c r="I116">
        <v>0.1</v>
      </c>
      <c r="J116" t="str">
        <f>_xlfn.XLOOKUP(tblOrders[[#This Row],[ProductID]],Products!$A$2:$A$9,Products!$B$2:$B$9,"Unknown")</f>
        <v>Webcam</v>
      </c>
      <c r="K116" t="str">
        <f>_xlfn.XLOOKUP(tblOrders[[#This Row],[ProductID]],Products!$A$2:$A$9,Products!$C$2:$C$9,"Unknown")</f>
        <v>Accessories</v>
      </c>
      <c r="L116">
        <f>_xlfn.XLOOKUP(tblOrders[[#This Row],[ProductID]],Products!$A$2:$A$9,Products!$D$2:$D$9,0)</f>
        <v>980</v>
      </c>
      <c r="M116">
        <f>tblOrders[[#This Row],[Quantity]]*tblOrders[[#This Row],[UnitPrice]]*(1-tblOrders[[#This Row],[Discount]])</f>
        <v>17550</v>
      </c>
      <c r="N116">
        <f>tblOrders[[#This Row],[Quantity]]*tblOrders[[#This Row],[UnitCost]]</f>
        <v>12740</v>
      </c>
      <c r="O116">
        <f>tblOrders[[#This Row],[Revenue]]-tblOrders[[#This Row],[Cost]]</f>
        <v>4810</v>
      </c>
      <c r="P116" t="str">
        <f>TEXT(tblOrders[[#This Row],[OrderDate]],"mmm")</f>
        <v>Feb</v>
      </c>
    </row>
    <row r="117" spans="1:16" x14ac:dyDescent="0.25">
      <c r="A117" t="s">
        <v>936</v>
      </c>
      <c r="B117" s="2">
        <v>45885</v>
      </c>
      <c r="C117" t="s">
        <v>162</v>
      </c>
      <c r="D117" t="s">
        <v>39</v>
      </c>
      <c r="E117" t="s">
        <v>40</v>
      </c>
      <c r="F117" t="s">
        <v>23</v>
      </c>
      <c r="G117">
        <v>7</v>
      </c>
      <c r="H117">
        <v>900</v>
      </c>
      <c r="I117">
        <v>0</v>
      </c>
      <c r="J117" t="str">
        <f>_xlfn.XLOOKUP(tblOrders[[#This Row],[ProductID]],Products!$A$2:$A$9,Products!$B$2:$B$9,"Unknown")</f>
        <v>Keyboard</v>
      </c>
      <c r="K117" t="str">
        <f>_xlfn.XLOOKUP(tblOrders[[#This Row],[ProductID]],Products!$A$2:$A$9,Products!$C$2:$C$9,"Unknown")</f>
        <v>Accessories</v>
      </c>
      <c r="L117">
        <f>_xlfn.XLOOKUP(tblOrders[[#This Row],[ProductID]],Products!$A$2:$A$9,Products!$D$2:$D$9,0)</f>
        <v>600</v>
      </c>
      <c r="M117">
        <f>tblOrders[[#This Row],[Quantity]]*tblOrders[[#This Row],[UnitPrice]]*(1-tblOrders[[#This Row],[Discount]])</f>
        <v>6300</v>
      </c>
      <c r="N117">
        <f>tblOrders[[#This Row],[Quantity]]*tblOrders[[#This Row],[UnitCost]]</f>
        <v>4200</v>
      </c>
      <c r="O117">
        <f>tblOrders[[#This Row],[Revenue]]-tblOrders[[#This Row],[Cost]]</f>
        <v>2100</v>
      </c>
      <c r="P117" t="str">
        <f>TEXT(tblOrders[[#This Row],[OrderDate]],"mmm")</f>
        <v>Aug</v>
      </c>
    </row>
    <row r="118" spans="1:16" x14ac:dyDescent="0.25">
      <c r="A118" t="s">
        <v>651</v>
      </c>
      <c r="B118" s="2">
        <v>45992</v>
      </c>
      <c r="C118" t="s">
        <v>57</v>
      </c>
      <c r="D118" t="s">
        <v>16</v>
      </c>
      <c r="E118" t="s">
        <v>17</v>
      </c>
      <c r="F118" t="s">
        <v>23</v>
      </c>
      <c r="G118">
        <v>9</v>
      </c>
      <c r="H118">
        <v>900</v>
      </c>
      <c r="I118">
        <v>0.15</v>
      </c>
      <c r="J118" t="str">
        <f>_xlfn.XLOOKUP(tblOrders[[#This Row],[ProductID]],Products!$A$2:$A$9,Products!$B$2:$B$9,"Unknown")</f>
        <v>Keyboard</v>
      </c>
      <c r="K118" t="str">
        <f>_xlfn.XLOOKUP(tblOrders[[#This Row],[ProductID]],Products!$A$2:$A$9,Products!$C$2:$C$9,"Unknown")</f>
        <v>Accessories</v>
      </c>
      <c r="L118">
        <f>_xlfn.XLOOKUP(tblOrders[[#This Row],[ProductID]],Products!$A$2:$A$9,Products!$D$2:$D$9,0)</f>
        <v>600</v>
      </c>
      <c r="M118">
        <f>tblOrders[[#This Row],[Quantity]]*tblOrders[[#This Row],[UnitPrice]]*(1-tblOrders[[#This Row],[Discount]])</f>
        <v>6885</v>
      </c>
      <c r="N118">
        <f>tblOrders[[#This Row],[Quantity]]*tblOrders[[#This Row],[UnitCost]]</f>
        <v>5400</v>
      </c>
      <c r="O118">
        <f>tblOrders[[#This Row],[Revenue]]-tblOrders[[#This Row],[Cost]]</f>
        <v>1485</v>
      </c>
      <c r="P118" t="str">
        <f>TEXT(tblOrders[[#This Row],[OrderDate]],"mmm")</f>
        <v>Dec</v>
      </c>
    </row>
    <row r="119" spans="1:16" x14ac:dyDescent="0.25">
      <c r="A119" t="s">
        <v>671</v>
      </c>
      <c r="B119" s="2">
        <v>45876</v>
      </c>
      <c r="C119" t="s">
        <v>99</v>
      </c>
      <c r="D119" t="s">
        <v>16</v>
      </c>
      <c r="E119" t="s">
        <v>17</v>
      </c>
      <c r="F119" t="s">
        <v>18</v>
      </c>
      <c r="G119">
        <v>8</v>
      </c>
      <c r="H119">
        <v>18000</v>
      </c>
      <c r="I119">
        <v>0</v>
      </c>
      <c r="J119" t="str">
        <f>_xlfn.XLOOKUP(tblOrders[[#This Row],[ProductID]],Products!$A$2:$A$9,Products!$B$2:$B$9,"Unknown")</f>
        <v>Tablet</v>
      </c>
      <c r="K119" t="str">
        <f>_xlfn.XLOOKUP(tblOrders[[#This Row],[ProductID]],Products!$A$2:$A$9,Products!$C$2:$C$9,"Unknown")</f>
        <v>Electronics</v>
      </c>
      <c r="L119">
        <f>_xlfn.XLOOKUP(tblOrders[[#This Row],[ProductID]],Products!$A$2:$A$9,Products!$D$2:$D$9,0)</f>
        <v>13500</v>
      </c>
      <c r="M119">
        <f>tblOrders[[#This Row],[Quantity]]*tblOrders[[#This Row],[UnitPrice]]*(1-tblOrders[[#This Row],[Discount]])</f>
        <v>144000</v>
      </c>
      <c r="N119">
        <f>tblOrders[[#This Row],[Quantity]]*tblOrders[[#This Row],[UnitCost]]</f>
        <v>108000</v>
      </c>
      <c r="O119">
        <f>tblOrders[[#This Row],[Revenue]]-tblOrders[[#This Row],[Cost]]</f>
        <v>36000</v>
      </c>
      <c r="P119" t="str">
        <f>TEXT(tblOrders[[#This Row],[OrderDate]],"mmm")</f>
        <v>Aug</v>
      </c>
    </row>
    <row r="120" spans="1:16" x14ac:dyDescent="0.25">
      <c r="A120" t="s">
        <v>384</v>
      </c>
      <c r="B120" s="2">
        <v>45879</v>
      </c>
      <c r="C120" t="s">
        <v>130</v>
      </c>
      <c r="D120" t="s">
        <v>39</v>
      </c>
      <c r="E120" t="s">
        <v>76</v>
      </c>
      <c r="F120" t="s">
        <v>43</v>
      </c>
      <c r="G120">
        <v>5</v>
      </c>
      <c r="H120">
        <v>1500</v>
      </c>
      <c r="I120">
        <v>0</v>
      </c>
      <c r="J120" t="str">
        <f>_xlfn.XLOOKUP(tblOrders[[#This Row],[ProductID]],Products!$A$2:$A$9,Products!$B$2:$B$9,"Unknown")</f>
        <v>Webcam</v>
      </c>
      <c r="K120" t="str">
        <f>_xlfn.XLOOKUP(tblOrders[[#This Row],[ProductID]],Products!$A$2:$A$9,Products!$C$2:$C$9,"Unknown")</f>
        <v>Accessories</v>
      </c>
      <c r="L120">
        <f>_xlfn.XLOOKUP(tblOrders[[#This Row],[ProductID]],Products!$A$2:$A$9,Products!$D$2:$D$9,0)</f>
        <v>980</v>
      </c>
      <c r="M120">
        <f>tblOrders[[#This Row],[Quantity]]*tblOrders[[#This Row],[UnitPrice]]*(1-tblOrders[[#This Row],[Discount]])</f>
        <v>7500</v>
      </c>
      <c r="N120">
        <f>tblOrders[[#This Row],[Quantity]]*tblOrders[[#This Row],[UnitCost]]</f>
        <v>4900</v>
      </c>
      <c r="O120">
        <f>tblOrders[[#This Row],[Revenue]]-tblOrders[[#This Row],[Cost]]</f>
        <v>2600</v>
      </c>
      <c r="P120" t="str">
        <f>TEXT(tblOrders[[#This Row],[OrderDate]],"mmm")</f>
        <v>Aug</v>
      </c>
    </row>
    <row r="121" spans="1:16" x14ac:dyDescent="0.25">
      <c r="A121" t="s">
        <v>959</v>
      </c>
      <c r="B121" s="2">
        <v>45767</v>
      </c>
      <c r="C121" t="s">
        <v>68</v>
      </c>
      <c r="D121" t="s">
        <v>21</v>
      </c>
      <c r="E121" t="s">
        <v>28</v>
      </c>
      <c r="F121" t="s">
        <v>23</v>
      </c>
      <c r="G121">
        <v>8</v>
      </c>
      <c r="H121">
        <v>900</v>
      </c>
      <c r="I121">
        <v>0.15</v>
      </c>
      <c r="J121" t="str">
        <f>_xlfn.XLOOKUP(tblOrders[[#This Row],[ProductID]],Products!$A$2:$A$9,Products!$B$2:$B$9,"Unknown")</f>
        <v>Keyboard</v>
      </c>
      <c r="K121" t="str">
        <f>_xlfn.XLOOKUP(tblOrders[[#This Row],[ProductID]],Products!$A$2:$A$9,Products!$C$2:$C$9,"Unknown")</f>
        <v>Accessories</v>
      </c>
      <c r="L121">
        <f>_xlfn.XLOOKUP(tblOrders[[#This Row],[ProductID]],Products!$A$2:$A$9,Products!$D$2:$D$9,0)</f>
        <v>600</v>
      </c>
      <c r="M121">
        <f>tblOrders[[#This Row],[Quantity]]*tblOrders[[#This Row],[UnitPrice]]*(1-tblOrders[[#This Row],[Discount]])</f>
        <v>6120</v>
      </c>
      <c r="N121">
        <f>tblOrders[[#This Row],[Quantity]]*tblOrders[[#This Row],[UnitCost]]</f>
        <v>4800</v>
      </c>
      <c r="O121">
        <f>tblOrders[[#This Row],[Revenue]]-tblOrders[[#This Row],[Cost]]</f>
        <v>1320</v>
      </c>
      <c r="P121" t="str">
        <f>TEXT(tblOrders[[#This Row],[OrderDate]],"mmm")</f>
        <v>Apr</v>
      </c>
    </row>
    <row r="122" spans="1:16" x14ac:dyDescent="0.25">
      <c r="A122" t="s">
        <v>969</v>
      </c>
      <c r="B122" s="2">
        <v>45802</v>
      </c>
      <c r="C122" t="s">
        <v>158</v>
      </c>
      <c r="D122" t="s">
        <v>11</v>
      </c>
      <c r="E122" t="s">
        <v>46</v>
      </c>
      <c r="F122" t="s">
        <v>55</v>
      </c>
      <c r="G122">
        <v>6</v>
      </c>
      <c r="H122">
        <v>8000</v>
      </c>
      <c r="I122">
        <v>0.15</v>
      </c>
      <c r="J122" t="str">
        <f>_xlfn.XLOOKUP(tblOrders[[#This Row],[ProductID]],Products!$A$2:$A$9,Products!$B$2:$B$9,"Unknown")</f>
        <v>Printer</v>
      </c>
      <c r="K122" t="str">
        <f>_xlfn.XLOOKUP(tblOrders[[#This Row],[ProductID]],Products!$A$2:$A$9,Products!$C$2:$C$9,"Unknown")</f>
        <v>Electronics</v>
      </c>
      <c r="L122">
        <f>_xlfn.XLOOKUP(tblOrders[[#This Row],[ProductID]],Products!$A$2:$A$9,Products!$D$2:$D$9,0)</f>
        <v>6200</v>
      </c>
      <c r="M122">
        <f>tblOrders[[#This Row],[Quantity]]*tblOrders[[#This Row],[UnitPrice]]*(1-tblOrders[[#This Row],[Discount]])</f>
        <v>40800</v>
      </c>
      <c r="N122">
        <f>tblOrders[[#This Row],[Quantity]]*tblOrders[[#This Row],[UnitCost]]</f>
        <v>37200</v>
      </c>
      <c r="O122">
        <f>tblOrders[[#This Row],[Revenue]]-tblOrders[[#This Row],[Cost]]</f>
        <v>3600</v>
      </c>
      <c r="P122" t="str">
        <f>TEXT(tblOrders[[#This Row],[OrderDate]],"mmm")</f>
        <v>May</v>
      </c>
    </row>
    <row r="123" spans="1:16" x14ac:dyDescent="0.25">
      <c r="A123" t="s">
        <v>330</v>
      </c>
      <c r="B123" s="2">
        <v>45845</v>
      </c>
      <c r="C123" t="s">
        <v>71</v>
      </c>
      <c r="D123" t="s">
        <v>21</v>
      </c>
      <c r="E123" t="s">
        <v>28</v>
      </c>
      <c r="F123" t="s">
        <v>64</v>
      </c>
      <c r="G123">
        <v>12</v>
      </c>
      <c r="H123">
        <v>500</v>
      </c>
      <c r="I123">
        <v>0.05</v>
      </c>
      <c r="J123" t="str">
        <f>_xlfn.XLOOKUP(tblOrders[[#This Row],[ProductID]],Products!$A$2:$A$9,Products!$B$2:$B$9,"Unknown")</f>
        <v>Mouse</v>
      </c>
      <c r="K123" t="str">
        <f>_xlfn.XLOOKUP(tblOrders[[#This Row],[ProductID]],Products!$A$2:$A$9,Products!$C$2:$C$9,"Unknown")</f>
        <v>Accessories</v>
      </c>
      <c r="L123">
        <f>_xlfn.XLOOKUP(tblOrders[[#This Row],[ProductID]],Products!$A$2:$A$9,Products!$D$2:$D$9,0)</f>
        <v>320</v>
      </c>
      <c r="M123">
        <f>tblOrders[[#This Row],[Quantity]]*tblOrders[[#This Row],[UnitPrice]]*(1-tblOrders[[#This Row],[Discount]])</f>
        <v>5700</v>
      </c>
      <c r="N123">
        <f>tblOrders[[#This Row],[Quantity]]*tblOrders[[#This Row],[UnitCost]]</f>
        <v>3840</v>
      </c>
      <c r="O123">
        <f>tblOrders[[#This Row],[Revenue]]-tblOrders[[#This Row],[Cost]]</f>
        <v>1860</v>
      </c>
      <c r="P123" t="str">
        <f>TEXT(tblOrders[[#This Row],[OrderDate]],"mmm")</f>
        <v>Jul</v>
      </c>
    </row>
    <row r="124" spans="1:16" x14ac:dyDescent="0.25">
      <c r="A124" t="s">
        <v>783</v>
      </c>
      <c r="B124" s="2">
        <v>45882</v>
      </c>
      <c r="C124" t="s">
        <v>15</v>
      </c>
      <c r="D124" t="s">
        <v>16</v>
      </c>
      <c r="E124" t="s">
        <v>17</v>
      </c>
      <c r="F124" t="s">
        <v>43</v>
      </c>
      <c r="G124">
        <v>6</v>
      </c>
      <c r="H124">
        <v>1500</v>
      </c>
      <c r="I124">
        <v>0</v>
      </c>
      <c r="J124" t="str">
        <f>_xlfn.XLOOKUP(tblOrders[[#This Row],[ProductID]],Products!$A$2:$A$9,Products!$B$2:$B$9,"Unknown")</f>
        <v>Webcam</v>
      </c>
      <c r="K124" t="str">
        <f>_xlfn.XLOOKUP(tblOrders[[#This Row],[ProductID]],Products!$A$2:$A$9,Products!$C$2:$C$9,"Unknown")</f>
        <v>Accessories</v>
      </c>
      <c r="L124">
        <f>_xlfn.XLOOKUP(tblOrders[[#This Row],[ProductID]],Products!$A$2:$A$9,Products!$D$2:$D$9,0)</f>
        <v>980</v>
      </c>
      <c r="M124">
        <f>tblOrders[[#This Row],[Quantity]]*tblOrders[[#This Row],[UnitPrice]]*(1-tblOrders[[#This Row],[Discount]])</f>
        <v>9000</v>
      </c>
      <c r="N124">
        <f>tblOrders[[#This Row],[Quantity]]*tblOrders[[#This Row],[UnitCost]]</f>
        <v>5880</v>
      </c>
      <c r="O124">
        <f>tblOrders[[#This Row],[Revenue]]-tblOrders[[#This Row],[Cost]]</f>
        <v>3120</v>
      </c>
      <c r="P124" t="str">
        <f>TEXT(tblOrders[[#This Row],[OrderDate]],"mmm")</f>
        <v>Aug</v>
      </c>
    </row>
    <row r="125" spans="1:16" x14ac:dyDescent="0.25">
      <c r="A125" t="s">
        <v>457</v>
      </c>
      <c r="B125" s="2">
        <v>45701</v>
      </c>
      <c r="C125" t="s">
        <v>85</v>
      </c>
      <c r="D125" t="s">
        <v>16</v>
      </c>
      <c r="E125" t="s">
        <v>33</v>
      </c>
      <c r="F125" t="s">
        <v>64</v>
      </c>
      <c r="G125">
        <v>1</v>
      </c>
      <c r="H125">
        <v>500</v>
      </c>
      <c r="I125">
        <v>0</v>
      </c>
      <c r="J125" t="str">
        <f>_xlfn.XLOOKUP(tblOrders[[#This Row],[ProductID]],Products!$A$2:$A$9,Products!$B$2:$B$9,"Unknown")</f>
        <v>Mouse</v>
      </c>
      <c r="K125" t="str">
        <f>_xlfn.XLOOKUP(tblOrders[[#This Row],[ProductID]],Products!$A$2:$A$9,Products!$C$2:$C$9,"Unknown")</f>
        <v>Accessories</v>
      </c>
      <c r="L125">
        <f>_xlfn.XLOOKUP(tblOrders[[#This Row],[ProductID]],Products!$A$2:$A$9,Products!$D$2:$D$9,0)</f>
        <v>320</v>
      </c>
      <c r="M125">
        <f>tblOrders[[#This Row],[Quantity]]*tblOrders[[#This Row],[UnitPrice]]*(1-tblOrders[[#This Row],[Discount]])</f>
        <v>500</v>
      </c>
      <c r="N125">
        <f>tblOrders[[#This Row],[Quantity]]*tblOrders[[#This Row],[UnitCost]]</f>
        <v>320</v>
      </c>
      <c r="O125">
        <f>tblOrders[[#This Row],[Revenue]]-tblOrders[[#This Row],[Cost]]</f>
        <v>180</v>
      </c>
      <c r="P125" t="str">
        <f>TEXT(tblOrders[[#This Row],[OrderDate]],"mmm")</f>
        <v>Feb</v>
      </c>
    </row>
    <row r="126" spans="1:16" x14ac:dyDescent="0.25">
      <c r="A126" t="s">
        <v>653</v>
      </c>
      <c r="B126" s="2">
        <v>45957</v>
      </c>
      <c r="C126" t="s">
        <v>162</v>
      </c>
      <c r="D126" t="s">
        <v>39</v>
      </c>
      <c r="E126" t="s">
        <v>76</v>
      </c>
      <c r="F126" t="s">
        <v>55</v>
      </c>
      <c r="G126">
        <v>12</v>
      </c>
      <c r="H126">
        <v>8000</v>
      </c>
      <c r="I126">
        <v>0.1</v>
      </c>
      <c r="J126" t="str">
        <f>_xlfn.XLOOKUP(tblOrders[[#This Row],[ProductID]],Products!$A$2:$A$9,Products!$B$2:$B$9,"Unknown")</f>
        <v>Printer</v>
      </c>
      <c r="K126" t="str">
        <f>_xlfn.XLOOKUP(tblOrders[[#This Row],[ProductID]],Products!$A$2:$A$9,Products!$C$2:$C$9,"Unknown")</f>
        <v>Electronics</v>
      </c>
      <c r="L126">
        <f>_xlfn.XLOOKUP(tblOrders[[#This Row],[ProductID]],Products!$A$2:$A$9,Products!$D$2:$D$9,0)</f>
        <v>6200</v>
      </c>
      <c r="M126">
        <f>tblOrders[[#This Row],[Quantity]]*tblOrders[[#This Row],[UnitPrice]]*(1-tblOrders[[#This Row],[Discount]])</f>
        <v>86400</v>
      </c>
      <c r="N126">
        <f>tblOrders[[#This Row],[Quantity]]*tblOrders[[#This Row],[UnitCost]]</f>
        <v>74400</v>
      </c>
      <c r="O126">
        <f>tblOrders[[#This Row],[Revenue]]-tblOrders[[#This Row],[Cost]]</f>
        <v>12000</v>
      </c>
      <c r="P126" t="str">
        <f>TEXT(tblOrders[[#This Row],[OrderDate]],"mmm")</f>
        <v>Oct</v>
      </c>
    </row>
    <row r="127" spans="1:16" x14ac:dyDescent="0.25">
      <c r="A127" t="s">
        <v>669</v>
      </c>
      <c r="B127" s="2">
        <v>45934</v>
      </c>
      <c r="C127" t="s">
        <v>68</v>
      </c>
      <c r="D127" t="s">
        <v>11</v>
      </c>
      <c r="E127" t="s">
        <v>46</v>
      </c>
      <c r="F127" t="s">
        <v>69</v>
      </c>
      <c r="G127">
        <v>3</v>
      </c>
      <c r="H127">
        <v>12000</v>
      </c>
      <c r="I127">
        <v>0</v>
      </c>
      <c r="J127" t="str">
        <f>_xlfn.XLOOKUP(tblOrders[[#This Row],[ProductID]],Products!$A$2:$A$9,Products!$B$2:$B$9,"Unknown")</f>
        <v>Monitor</v>
      </c>
      <c r="K127" t="str">
        <f>_xlfn.XLOOKUP(tblOrders[[#This Row],[ProductID]],Products!$A$2:$A$9,Products!$C$2:$C$9,"Unknown")</f>
        <v>Electronics</v>
      </c>
      <c r="L127">
        <f>_xlfn.XLOOKUP(tblOrders[[#This Row],[ProductID]],Products!$A$2:$A$9,Products!$D$2:$D$9,0)</f>
        <v>9000</v>
      </c>
      <c r="M127">
        <f>tblOrders[[#This Row],[Quantity]]*tblOrders[[#This Row],[UnitPrice]]*(1-tblOrders[[#This Row],[Discount]])</f>
        <v>36000</v>
      </c>
      <c r="N127">
        <f>tblOrders[[#This Row],[Quantity]]*tblOrders[[#This Row],[UnitCost]]</f>
        <v>27000</v>
      </c>
      <c r="O127">
        <f>tblOrders[[#This Row],[Revenue]]-tblOrders[[#This Row],[Cost]]</f>
        <v>9000</v>
      </c>
      <c r="P127" t="str">
        <f>TEXT(tblOrders[[#This Row],[OrderDate]],"mmm")</f>
        <v>Oct</v>
      </c>
    </row>
    <row r="128" spans="1:16" x14ac:dyDescent="0.25">
      <c r="A128" t="s">
        <v>964</v>
      </c>
      <c r="B128" s="2">
        <v>45802</v>
      </c>
      <c r="C128" t="s">
        <v>105</v>
      </c>
      <c r="D128" t="s">
        <v>21</v>
      </c>
      <c r="E128" t="s">
        <v>22</v>
      </c>
      <c r="F128" t="s">
        <v>55</v>
      </c>
      <c r="G128">
        <v>9</v>
      </c>
      <c r="H128">
        <v>8000</v>
      </c>
      <c r="I128">
        <v>0</v>
      </c>
      <c r="J128" t="str">
        <f>_xlfn.XLOOKUP(tblOrders[[#This Row],[ProductID]],Products!$A$2:$A$9,Products!$B$2:$B$9,"Unknown")</f>
        <v>Printer</v>
      </c>
      <c r="K128" t="str">
        <f>_xlfn.XLOOKUP(tblOrders[[#This Row],[ProductID]],Products!$A$2:$A$9,Products!$C$2:$C$9,"Unknown")</f>
        <v>Electronics</v>
      </c>
      <c r="L128">
        <f>_xlfn.XLOOKUP(tblOrders[[#This Row],[ProductID]],Products!$A$2:$A$9,Products!$D$2:$D$9,0)</f>
        <v>6200</v>
      </c>
      <c r="M128">
        <f>tblOrders[[#This Row],[Quantity]]*tblOrders[[#This Row],[UnitPrice]]*(1-tblOrders[[#This Row],[Discount]])</f>
        <v>72000</v>
      </c>
      <c r="N128">
        <f>tblOrders[[#This Row],[Quantity]]*tblOrders[[#This Row],[UnitCost]]</f>
        <v>55800</v>
      </c>
      <c r="O128">
        <f>tblOrders[[#This Row],[Revenue]]-tblOrders[[#This Row],[Cost]]</f>
        <v>16200</v>
      </c>
      <c r="P128" t="str">
        <f>TEXT(tblOrders[[#This Row],[OrderDate]],"mmm")</f>
        <v>May</v>
      </c>
    </row>
    <row r="129" spans="1:16" x14ac:dyDescent="0.25">
      <c r="A129" t="s">
        <v>324</v>
      </c>
      <c r="B129" s="2">
        <v>45948</v>
      </c>
      <c r="C129" t="s">
        <v>130</v>
      </c>
      <c r="D129" t="s">
        <v>16</v>
      </c>
      <c r="E129" t="s">
        <v>33</v>
      </c>
      <c r="F129" t="s">
        <v>34</v>
      </c>
      <c r="G129">
        <v>11</v>
      </c>
      <c r="H129">
        <v>55000</v>
      </c>
      <c r="I129">
        <v>0.05</v>
      </c>
      <c r="J129" t="str">
        <f>_xlfn.XLOOKUP(tblOrders[[#This Row],[ProductID]],Products!$A$2:$A$9,Products!$B$2:$B$9,"Unknown")</f>
        <v>Laptop</v>
      </c>
      <c r="K129" t="str">
        <f>_xlfn.XLOOKUP(tblOrders[[#This Row],[ProductID]],Products!$A$2:$A$9,Products!$C$2:$C$9,"Unknown")</f>
        <v>Electronics</v>
      </c>
      <c r="L129">
        <f>_xlfn.XLOOKUP(tblOrders[[#This Row],[ProductID]],Products!$A$2:$A$9,Products!$D$2:$D$9,0)</f>
        <v>41000</v>
      </c>
      <c r="M129">
        <f>tblOrders[[#This Row],[Quantity]]*tblOrders[[#This Row],[UnitPrice]]*(1-tblOrders[[#This Row],[Discount]])</f>
        <v>574750</v>
      </c>
      <c r="N129">
        <f>tblOrders[[#This Row],[Quantity]]*tblOrders[[#This Row],[UnitCost]]</f>
        <v>451000</v>
      </c>
      <c r="O129">
        <f>tblOrders[[#This Row],[Revenue]]-tblOrders[[#This Row],[Cost]]</f>
        <v>123750</v>
      </c>
      <c r="P129" t="str">
        <f>TEXT(tblOrders[[#This Row],[OrderDate]],"mmm")</f>
        <v>Oct</v>
      </c>
    </row>
    <row r="130" spans="1:16" x14ac:dyDescent="0.25">
      <c r="A130" t="s">
        <v>436</v>
      </c>
      <c r="B130" s="2">
        <v>45937</v>
      </c>
      <c r="C130" t="s">
        <v>149</v>
      </c>
      <c r="D130" t="s">
        <v>21</v>
      </c>
      <c r="E130" t="s">
        <v>22</v>
      </c>
      <c r="F130" t="s">
        <v>64</v>
      </c>
      <c r="G130">
        <v>2</v>
      </c>
      <c r="H130">
        <v>500</v>
      </c>
      <c r="I130">
        <v>0</v>
      </c>
      <c r="J130" t="str">
        <f>_xlfn.XLOOKUP(tblOrders[[#This Row],[ProductID]],Products!$A$2:$A$9,Products!$B$2:$B$9,"Unknown")</f>
        <v>Mouse</v>
      </c>
      <c r="K130" t="str">
        <f>_xlfn.XLOOKUP(tblOrders[[#This Row],[ProductID]],Products!$A$2:$A$9,Products!$C$2:$C$9,"Unknown")</f>
        <v>Accessories</v>
      </c>
      <c r="L130">
        <f>_xlfn.XLOOKUP(tblOrders[[#This Row],[ProductID]],Products!$A$2:$A$9,Products!$D$2:$D$9,0)</f>
        <v>320</v>
      </c>
      <c r="M130">
        <f>tblOrders[[#This Row],[Quantity]]*tblOrders[[#This Row],[UnitPrice]]*(1-tblOrders[[#This Row],[Discount]])</f>
        <v>1000</v>
      </c>
      <c r="N130">
        <f>tblOrders[[#This Row],[Quantity]]*tblOrders[[#This Row],[UnitCost]]</f>
        <v>640</v>
      </c>
      <c r="O130">
        <f>tblOrders[[#This Row],[Revenue]]-tblOrders[[#This Row],[Cost]]</f>
        <v>360</v>
      </c>
      <c r="P130" t="str">
        <f>TEXT(tblOrders[[#This Row],[OrderDate]],"mmm")</f>
        <v>Oct</v>
      </c>
    </row>
    <row r="131" spans="1:16" x14ac:dyDescent="0.25">
      <c r="A131" t="s">
        <v>913</v>
      </c>
      <c r="B131" s="2">
        <v>45818</v>
      </c>
      <c r="C131" t="s">
        <v>103</v>
      </c>
      <c r="D131" t="s">
        <v>21</v>
      </c>
      <c r="E131" t="s">
        <v>22</v>
      </c>
      <c r="F131" t="s">
        <v>34</v>
      </c>
      <c r="G131">
        <v>11</v>
      </c>
      <c r="H131">
        <v>55000</v>
      </c>
      <c r="I131">
        <v>0.15</v>
      </c>
      <c r="J131" t="str">
        <f>_xlfn.XLOOKUP(tblOrders[[#This Row],[ProductID]],Products!$A$2:$A$9,Products!$B$2:$B$9,"Unknown")</f>
        <v>Laptop</v>
      </c>
      <c r="K131" t="str">
        <f>_xlfn.XLOOKUP(tblOrders[[#This Row],[ProductID]],Products!$A$2:$A$9,Products!$C$2:$C$9,"Unknown")</f>
        <v>Electronics</v>
      </c>
      <c r="L131">
        <f>_xlfn.XLOOKUP(tblOrders[[#This Row],[ProductID]],Products!$A$2:$A$9,Products!$D$2:$D$9,0)</f>
        <v>41000</v>
      </c>
      <c r="M131">
        <f>tblOrders[[#This Row],[Quantity]]*tblOrders[[#This Row],[UnitPrice]]*(1-tblOrders[[#This Row],[Discount]])</f>
        <v>514250</v>
      </c>
      <c r="N131">
        <f>tblOrders[[#This Row],[Quantity]]*tblOrders[[#This Row],[UnitCost]]</f>
        <v>451000</v>
      </c>
      <c r="O131">
        <f>tblOrders[[#This Row],[Revenue]]-tblOrders[[#This Row],[Cost]]</f>
        <v>63250</v>
      </c>
      <c r="P131" t="str">
        <f>TEXT(tblOrders[[#This Row],[OrderDate]],"mmm")</f>
        <v>Jun</v>
      </c>
    </row>
    <row r="132" spans="1:16" x14ac:dyDescent="0.25">
      <c r="A132" t="s">
        <v>165</v>
      </c>
      <c r="B132" s="2">
        <v>45990</v>
      </c>
      <c r="C132" t="s">
        <v>50</v>
      </c>
      <c r="D132" t="s">
        <v>39</v>
      </c>
      <c r="E132" t="s">
        <v>76</v>
      </c>
      <c r="F132" t="s">
        <v>55</v>
      </c>
      <c r="G132">
        <v>12</v>
      </c>
      <c r="H132">
        <v>8000</v>
      </c>
      <c r="I132">
        <v>0</v>
      </c>
      <c r="J132" t="str">
        <f>_xlfn.XLOOKUP(tblOrders[[#This Row],[ProductID]],Products!$A$2:$A$9,Products!$B$2:$B$9,"Unknown")</f>
        <v>Printer</v>
      </c>
      <c r="K132" t="str">
        <f>_xlfn.XLOOKUP(tblOrders[[#This Row],[ProductID]],Products!$A$2:$A$9,Products!$C$2:$C$9,"Unknown")</f>
        <v>Electronics</v>
      </c>
      <c r="L132">
        <f>_xlfn.XLOOKUP(tblOrders[[#This Row],[ProductID]],Products!$A$2:$A$9,Products!$D$2:$D$9,0)</f>
        <v>6200</v>
      </c>
      <c r="M132">
        <f>tblOrders[[#This Row],[Quantity]]*tblOrders[[#This Row],[UnitPrice]]*(1-tblOrders[[#This Row],[Discount]])</f>
        <v>96000</v>
      </c>
      <c r="N132">
        <f>tblOrders[[#This Row],[Quantity]]*tblOrders[[#This Row],[UnitCost]]</f>
        <v>74400</v>
      </c>
      <c r="O132">
        <f>tblOrders[[#This Row],[Revenue]]-tblOrders[[#This Row],[Cost]]</f>
        <v>21600</v>
      </c>
      <c r="P132" t="str">
        <f>TEXT(tblOrders[[#This Row],[OrderDate]],"mmm")</f>
        <v>Nov</v>
      </c>
    </row>
    <row r="133" spans="1:16" x14ac:dyDescent="0.25">
      <c r="A133" t="s">
        <v>84</v>
      </c>
      <c r="B133" s="2">
        <v>45893</v>
      </c>
      <c r="C133" t="s">
        <v>85</v>
      </c>
      <c r="D133" t="s">
        <v>39</v>
      </c>
      <c r="E133" t="s">
        <v>40</v>
      </c>
      <c r="F133" t="s">
        <v>64</v>
      </c>
      <c r="G133">
        <v>6</v>
      </c>
      <c r="H133">
        <v>500</v>
      </c>
      <c r="I133">
        <v>0</v>
      </c>
      <c r="J133" t="str">
        <f>_xlfn.XLOOKUP(tblOrders[[#This Row],[ProductID]],Products!$A$2:$A$9,Products!$B$2:$B$9,"Unknown")</f>
        <v>Mouse</v>
      </c>
      <c r="K133" t="str">
        <f>_xlfn.XLOOKUP(tblOrders[[#This Row],[ProductID]],Products!$A$2:$A$9,Products!$C$2:$C$9,"Unknown")</f>
        <v>Accessories</v>
      </c>
      <c r="L133">
        <f>_xlfn.XLOOKUP(tblOrders[[#This Row],[ProductID]],Products!$A$2:$A$9,Products!$D$2:$D$9,0)</f>
        <v>320</v>
      </c>
      <c r="M133">
        <f>tblOrders[[#This Row],[Quantity]]*tblOrders[[#This Row],[UnitPrice]]*(1-tblOrders[[#This Row],[Discount]])</f>
        <v>3000</v>
      </c>
      <c r="N133">
        <f>tblOrders[[#This Row],[Quantity]]*tblOrders[[#This Row],[UnitCost]]</f>
        <v>1920</v>
      </c>
      <c r="O133">
        <f>tblOrders[[#This Row],[Revenue]]-tblOrders[[#This Row],[Cost]]</f>
        <v>1080</v>
      </c>
      <c r="P133" t="str">
        <f>TEXT(tblOrders[[#This Row],[OrderDate]],"mmm")</f>
        <v>Aug</v>
      </c>
    </row>
    <row r="134" spans="1:16" x14ac:dyDescent="0.25">
      <c r="A134" t="s">
        <v>1073</v>
      </c>
      <c r="B134" s="2">
        <v>45910</v>
      </c>
      <c r="C134" t="s">
        <v>42</v>
      </c>
      <c r="D134" t="s">
        <v>39</v>
      </c>
      <c r="E134" t="s">
        <v>40</v>
      </c>
      <c r="F134" t="s">
        <v>18</v>
      </c>
      <c r="G134">
        <v>12</v>
      </c>
      <c r="H134">
        <v>18000</v>
      </c>
      <c r="I134">
        <v>0.1</v>
      </c>
      <c r="J134" t="str">
        <f>_xlfn.XLOOKUP(tblOrders[[#This Row],[ProductID]],Products!$A$2:$A$9,Products!$B$2:$B$9,"Unknown")</f>
        <v>Tablet</v>
      </c>
      <c r="K134" t="str">
        <f>_xlfn.XLOOKUP(tblOrders[[#This Row],[ProductID]],Products!$A$2:$A$9,Products!$C$2:$C$9,"Unknown")</f>
        <v>Electronics</v>
      </c>
      <c r="L134">
        <f>_xlfn.XLOOKUP(tblOrders[[#This Row],[ProductID]],Products!$A$2:$A$9,Products!$D$2:$D$9,0)</f>
        <v>13500</v>
      </c>
      <c r="M134">
        <f>tblOrders[[#This Row],[Quantity]]*tblOrders[[#This Row],[UnitPrice]]*(1-tblOrders[[#This Row],[Discount]])</f>
        <v>194400</v>
      </c>
      <c r="N134">
        <f>tblOrders[[#This Row],[Quantity]]*tblOrders[[#This Row],[UnitCost]]</f>
        <v>162000</v>
      </c>
      <c r="O134">
        <f>tblOrders[[#This Row],[Revenue]]-tblOrders[[#This Row],[Cost]]</f>
        <v>32400</v>
      </c>
      <c r="P134" t="str">
        <f>TEXT(tblOrders[[#This Row],[OrderDate]],"mmm")</f>
        <v>Sep</v>
      </c>
    </row>
    <row r="135" spans="1:16" x14ac:dyDescent="0.25">
      <c r="A135" t="s">
        <v>1018</v>
      </c>
      <c r="B135" s="2">
        <v>45868</v>
      </c>
      <c r="C135" t="s">
        <v>138</v>
      </c>
      <c r="D135" t="s">
        <v>16</v>
      </c>
      <c r="E135" t="s">
        <v>17</v>
      </c>
      <c r="F135" t="s">
        <v>34</v>
      </c>
      <c r="G135">
        <v>13</v>
      </c>
      <c r="H135">
        <v>55000</v>
      </c>
      <c r="I135">
        <v>0.05</v>
      </c>
      <c r="J135" t="str">
        <f>_xlfn.XLOOKUP(tblOrders[[#This Row],[ProductID]],Products!$A$2:$A$9,Products!$B$2:$B$9,"Unknown")</f>
        <v>Laptop</v>
      </c>
      <c r="K135" t="str">
        <f>_xlfn.XLOOKUP(tblOrders[[#This Row],[ProductID]],Products!$A$2:$A$9,Products!$C$2:$C$9,"Unknown")</f>
        <v>Electronics</v>
      </c>
      <c r="L135">
        <f>_xlfn.XLOOKUP(tblOrders[[#This Row],[ProductID]],Products!$A$2:$A$9,Products!$D$2:$D$9,0)</f>
        <v>41000</v>
      </c>
      <c r="M135">
        <f>tblOrders[[#This Row],[Quantity]]*tblOrders[[#This Row],[UnitPrice]]*(1-tblOrders[[#This Row],[Discount]])</f>
        <v>679250</v>
      </c>
      <c r="N135">
        <f>tblOrders[[#This Row],[Quantity]]*tblOrders[[#This Row],[UnitCost]]</f>
        <v>533000</v>
      </c>
      <c r="O135">
        <f>tblOrders[[#This Row],[Revenue]]-tblOrders[[#This Row],[Cost]]</f>
        <v>146250</v>
      </c>
      <c r="P135" t="str">
        <f>TEXT(tblOrders[[#This Row],[OrderDate]],"mmm")</f>
        <v>Jul</v>
      </c>
    </row>
    <row r="136" spans="1:16" x14ac:dyDescent="0.25">
      <c r="A136" t="s">
        <v>942</v>
      </c>
      <c r="B136" s="2">
        <v>45895</v>
      </c>
      <c r="C136" t="s">
        <v>63</v>
      </c>
      <c r="D136" t="s">
        <v>21</v>
      </c>
      <c r="E136" t="s">
        <v>22</v>
      </c>
      <c r="F136" t="s">
        <v>64</v>
      </c>
      <c r="G136">
        <v>12</v>
      </c>
      <c r="H136">
        <v>500</v>
      </c>
      <c r="I136">
        <v>0</v>
      </c>
      <c r="J136" t="str">
        <f>_xlfn.XLOOKUP(tblOrders[[#This Row],[ProductID]],Products!$A$2:$A$9,Products!$B$2:$B$9,"Unknown")</f>
        <v>Mouse</v>
      </c>
      <c r="K136" t="str">
        <f>_xlfn.XLOOKUP(tblOrders[[#This Row],[ProductID]],Products!$A$2:$A$9,Products!$C$2:$C$9,"Unknown")</f>
        <v>Accessories</v>
      </c>
      <c r="L136">
        <f>_xlfn.XLOOKUP(tblOrders[[#This Row],[ProductID]],Products!$A$2:$A$9,Products!$D$2:$D$9,0)</f>
        <v>320</v>
      </c>
      <c r="M136">
        <f>tblOrders[[#This Row],[Quantity]]*tblOrders[[#This Row],[UnitPrice]]*(1-tblOrders[[#This Row],[Discount]])</f>
        <v>6000</v>
      </c>
      <c r="N136">
        <f>tblOrders[[#This Row],[Quantity]]*tblOrders[[#This Row],[UnitCost]]</f>
        <v>3840</v>
      </c>
      <c r="O136">
        <f>tblOrders[[#This Row],[Revenue]]-tblOrders[[#This Row],[Cost]]</f>
        <v>2160</v>
      </c>
      <c r="P136" t="str">
        <f>TEXT(tblOrders[[#This Row],[OrderDate]],"mmm")</f>
        <v>Aug</v>
      </c>
    </row>
    <row r="137" spans="1:16" x14ac:dyDescent="0.25">
      <c r="A137" t="s">
        <v>858</v>
      </c>
      <c r="B137" s="2">
        <v>45873</v>
      </c>
      <c r="C137" t="s">
        <v>132</v>
      </c>
      <c r="D137" t="s">
        <v>39</v>
      </c>
      <c r="E137" t="s">
        <v>76</v>
      </c>
      <c r="F137" t="s">
        <v>69</v>
      </c>
      <c r="G137">
        <v>4</v>
      </c>
      <c r="H137">
        <v>12000</v>
      </c>
      <c r="I137">
        <v>0.15</v>
      </c>
      <c r="J137" t="str">
        <f>_xlfn.XLOOKUP(tblOrders[[#This Row],[ProductID]],Products!$A$2:$A$9,Products!$B$2:$B$9,"Unknown")</f>
        <v>Monitor</v>
      </c>
      <c r="K137" t="str">
        <f>_xlfn.XLOOKUP(tblOrders[[#This Row],[ProductID]],Products!$A$2:$A$9,Products!$C$2:$C$9,"Unknown")</f>
        <v>Electronics</v>
      </c>
      <c r="L137">
        <f>_xlfn.XLOOKUP(tblOrders[[#This Row],[ProductID]],Products!$A$2:$A$9,Products!$D$2:$D$9,0)</f>
        <v>9000</v>
      </c>
      <c r="M137">
        <f>tblOrders[[#This Row],[Quantity]]*tblOrders[[#This Row],[UnitPrice]]*(1-tblOrders[[#This Row],[Discount]])</f>
        <v>40800</v>
      </c>
      <c r="N137">
        <f>tblOrders[[#This Row],[Quantity]]*tblOrders[[#This Row],[UnitCost]]</f>
        <v>36000</v>
      </c>
      <c r="O137">
        <f>tblOrders[[#This Row],[Revenue]]-tblOrders[[#This Row],[Cost]]</f>
        <v>4800</v>
      </c>
      <c r="P137" t="str">
        <f>TEXT(tblOrders[[#This Row],[OrderDate]],"mmm")</f>
        <v>Aug</v>
      </c>
    </row>
    <row r="138" spans="1:16" x14ac:dyDescent="0.25">
      <c r="A138" t="s">
        <v>813</v>
      </c>
      <c r="B138" s="2">
        <v>46008</v>
      </c>
      <c r="C138" t="s">
        <v>107</v>
      </c>
      <c r="D138" t="s">
        <v>11</v>
      </c>
      <c r="E138" t="s">
        <v>46</v>
      </c>
      <c r="F138" t="s">
        <v>64</v>
      </c>
      <c r="G138">
        <v>4</v>
      </c>
      <c r="H138">
        <v>500</v>
      </c>
      <c r="I138">
        <v>0.05</v>
      </c>
      <c r="J138" t="str">
        <f>_xlfn.XLOOKUP(tblOrders[[#This Row],[ProductID]],Products!$A$2:$A$9,Products!$B$2:$B$9,"Unknown")</f>
        <v>Mouse</v>
      </c>
      <c r="K138" t="str">
        <f>_xlfn.XLOOKUP(tblOrders[[#This Row],[ProductID]],Products!$A$2:$A$9,Products!$C$2:$C$9,"Unknown")</f>
        <v>Accessories</v>
      </c>
      <c r="L138">
        <f>_xlfn.XLOOKUP(tblOrders[[#This Row],[ProductID]],Products!$A$2:$A$9,Products!$D$2:$D$9,0)</f>
        <v>320</v>
      </c>
      <c r="M138">
        <f>tblOrders[[#This Row],[Quantity]]*tblOrders[[#This Row],[UnitPrice]]*(1-tblOrders[[#This Row],[Discount]])</f>
        <v>1900</v>
      </c>
      <c r="N138">
        <f>tblOrders[[#This Row],[Quantity]]*tblOrders[[#This Row],[UnitCost]]</f>
        <v>1280</v>
      </c>
      <c r="O138">
        <f>tblOrders[[#This Row],[Revenue]]-tblOrders[[#This Row],[Cost]]</f>
        <v>620</v>
      </c>
      <c r="P138" t="str">
        <f>TEXT(tblOrders[[#This Row],[OrderDate]],"mmm")</f>
        <v>Dec</v>
      </c>
    </row>
    <row r="139" spans="1:16" x14ac:dyDescent="0.25">
      <c r="A139" t="s">
        <v>290</v>
      </c>
      <c r="B139" s="2">
        <v>45798</v>
      </c>
      <c r="C139" t="s">
        <v>261</v>
      </c>
      <c r="D139" t="s">
        <v>21</v>
      </c>
      <c r="E139" t="s">
        <v>28</v>
      </c>
      <c r="F139" t="s">
        <v>43</v>
      </c>
      <c r="G139">
        <v>5</v>
      </c>
      <c r="H139">
        <v>1500</v>
      </c>
      <c r="I139">
        <v>0.15</v>
      </c>
      <c r="J139" t="str">
        <f>_xlfn.XLOOKUP(tblOrders[[#This Row],[ProductID]],Products!$A$2:$A$9,Products!$B$2:$B$9,"Unknown")</f>
        <v>Webcam</v>
      </c>
      <c r="K139" t="str">
        <f>_xlfn.XLOOKUP(tblOrders[[#This Row],[ProductID]],Products!$A$2:$A$9,Products!$C$2:$C$9,"Unknown")</f>
        <v>Accessories</v>
      </c>
      <c r="L139">
        <f>_xlfn.XLOOKUP(tblOrders[[#This Row],[ProductID]],Products!$A$2:$A$9,Products!$D$2:$D$9,0)</f>
        <v>980</v>
      </c>
      <c r="M139">
        <f>tblOrders[[#This Row],[Quantity]]*tblOrders[[#This Row],[UnitPrice]]*(1-tblOrders[[#This Row],[Discount]])</f>
        <v>6375</v>
      </c>
      <c r="N139">
        <f>tblOrders[[#This Row],[Quantity]]*tblOrders[[#This Row],[UnitCost]]</f>
        <v>4900</v>
      </c>
      <c r="O139">
        <f>tblOrders[[#This Row],[Revenue]]-tblOrders[[#This Row],[Cost]]</f>
        <v>1475</v>
      </c>
      <c r="P139" t="str">
        <f>TEXT(tblOrders[[#This Row],[OrderDate]],"mmm")</f>
        <v>May</v>
      </c>
    </row>
    <row r="140" spans="1:16" x14ac:dyDescent="0.25">
      <c r="A140" t="s">
        <v>67</v>
      </c>
      <c r="B140" s="2">
        <v>45989</v>
      </c>
      <c r="C140" t="s">
        <v>68</v>
      </c>
      <c r="D140" t="s">
        <v>11</v>
      </c>
      <c r="E140" t="s">
        <v>46</v>
      </c>
      <c r="F140" t="s">
        <v>69</v>
      </c>
      <c r="G140">
        <v>15</v>
      </c>
      <c r="H140">
        <v>12000</v>
      </c>
      <c r="I140">
        <v>0</v>
      </c>
      <c r="J140" t="str">
        <f>_xlfn.XLOOKUP(tblOrders[[#This Row],[ProductID]],Products!$A$2:$A$9,Products!$B$2:$B$9,"Unknown")</f>
        <v>Monitor</v>
      </c>
      <c r="K140" t="str">
        <f>_xlfn.XLOOKUP(tblOrders[[#This Row],[ProductID]],Products!$A$2:$A$9,Products!$C$2:$C$9,"Unknown")</f>
        <v>Electronics</v>
      </c>
      <c r="L140">
        <f>_xlfn.XLOOKUP(tblOrders[[#This Row],[ProductID]],Products!$A$2:$A$9,Products!$D$2:$D$9,0)</f>
        <v>9000</v>
      </c>
      <c r="M140">
        <f>tblOrders[[#This Row],[Quantity]]*tblOrders[[#This Row],[UnitPrice]]*(1-tblOrders[[#This Row],[Discount]])</f>
        <v>180000</v>
      </c>
      <c r="N140">
        <f>tblOrders[[#This Row],[Quantity]]*tblOrders[[#This Row],[UnitCost]]</f>
        <v>135000</v>
      </c>
      <c r="O140">
        <f>tblOrders[[#This Row],[Revenue]]-tblOrders[[#This Row],[Cost]]</f>
        <v>45000</v>
      </c>
      <c r="P140" t="str">
        <f>TEXT(tblOrders[[#This Row],[OrderDate]],"mmm")</f>
        <v>Nov</v>
      </c>
    </row>
    <row r="141" spans="1:16" x14ac:dyDescent="0.25">
      <c r="A141" t="s">
        <v>809</v>
      </c>
      <c r="B141" s="2">
        <v>45666</v>
      </c>
      <c r="C141" t="s">
        <v>121</v>
      </c>
      <c r="D141" t="s">
        <v>39</v>
      </c>
      <c r="E141" t="s">
        <v>40</v>
      </c>
      <c r="F141" t="s">
        <v>34</v>
      </c>
      <c r="G141">
        <v>6</v>
      </c>
      <c r="H141">
        <v>55000</v>
      </c>
      <c r="I141">
        <v>0</v>
      </c>
      <c r="J141" t="str">
        <f>_xlfn.XLOOKUP(tblOrders[[#This Row],[ProductID]],Products!$A$2:$A$9,Products!$B$2:$B$9,"Unknown")</f>
        <v>Laptop</v>
      </c>
      <c r="K141" t="str">
        <f>_xlfn.XLOOKUP(tblOrders[[#This Row],[ProductID]],Products!$A$2:$A$9,Products!$C$2:$C$9,"Unknown")</f>
        <v>Electronics</v>
      </c>
      <c r="L141">
        <f>_xlfn.XLOOKUP(tblOrders[[#This Row],[ProductID]],Products!$A$2:$A$9,Products!$D$2:$D$9,0)</f>
        <v>41000</v>
      </c>
      <c r="M141">
        <f>tblOrders[[#This Row],[Quantity]]*tblOrders[[#This Row],[UnitPrice]]*(1-tblOrders[[#This Row],[Discount]])</f>
        <v>330000</v>
      </c>
      <c r="N141">
        <f>tblOrders[[#This Row],[Quantity]]*tblOrders[[#This Row],[UnitCost]]</f>
        <v>246000</v>
      </c>
      <c r="O141">
        <f>tblOrders[[#This Row],[Revenue]]-tblOrders[[#This Row],[Cost]]</f>
        <v>84000</v>
      </c>
      <c r="P141" t="str">
        <f>TEXT(tblOrders[[#This Row],[OrderDate]],"mmm")</f>
        <v>Jan</v>
      </c>
    </row>
    <row r="142" spans="1:16" x14ac:dyDescent="0.25">
      <c r="A142" t="s">
        <v>460</v>
      </c>
      <c r="B142" s="2">
        <v>45841</v>
      </c>
      <c r="C142" t="s">
        <v>45</v>
      </c>
      <c r="D142" t="s">
        <v>11</v>
      </c>
      <c r="E142" t="s">
        <v>12</v>
      </c>
      <c r="F142" t="s">
        <v>55</v>
      </c>
      <c r="G142">
        <v>10</v>
      </c>
      <c r="H142">
        <v>8000</v>
      </c>
      <c r="I142">
        <v>0.15</v>
      </c>
      <c r="J142" t="str">
        <f>_xlfn.XLOOKUP(tblOrders[[#This Row],[ProductID]],Products!$A$2:$A$9,Products!$B$2:$B$9,"Unknown")</f>
        <v>Printer</v>
      </c>
      <c r="K142" t="str">
        <f>_xlfn.XLOOKUP(tblOrders[[#This Row],[ProductID]],Products!$A$2:$A$9,Products!$C$2:$C$9,"Unknown")</f>
        <v>Electronics</v>
      </c>
      <c r="L142">
        <f>_xlfn.XLOOKUP(tblOrders[[#This Row],[ProductID]],Products!$A$2:$A$9,Products!$D$2:$D$9,0)</f>
        <v>6200</v>
      </c>
      <c r="M142">
        <f>tblOrders[[#This Row],[Quantity]]*tblOrders[[#This Row],[UnitPrice]]*(1-tblOrders[[#This Row],[Discount]])</f>
        <v>68000</v>
      </c>
      <c r="N142">
        <f>tblOrders[[#This Row],[Quantity]]*tblOrders[[#This Row],[UnitCost]]</f>
        <v>62000</v>
      </c>
      <c r="O142">
        <f>tblOrders[[#This Row],[Revenue]]-tblOrders[[#This Row],[Cost]]</f>
        <v>6000</v>
      </c>
      <c r="P142" t="str">
        <f>TEXT(tblOrders[[#This Row],[OrderDate]],"mmm")</f>
        <v>Jul</v>
      </c>
    </row>
    <row r="143" spans="1:16" x14ac:dyDescent="0.25">
      <c r="A143" t="s">
        <v>855</v>
      </c>
      <c r="B143" s="2">
        <v>45884</v>
      </c>
      <c r="C143" t="s">
        <v>42</v>
      </c>
      <c r="D143" t="s">
        <v>11</v>
      </c>
      <c r="E143" t="s">
        <v>46</v>
      </c>
      <c r="F143" t="s">
        <v>23</v>
      </c>
      <c r="G143">
        <v>7</v>
      </c>
      <c r="H143">
        <v>900</v>
      </c>
      <c r="I143">
        <v>0</v>
      </c>
      <c r="J143" t="str">
        <f>_xlfn.XLOOKUP(tblOrders[[#This Row],[ProductID]],Products!$A$2:$A$9,Products!$B$2:$B$9,"Unknown")</f>
        <v>Keyboard</v>
      </c>
      <c r="K143" t="str">
        <f>_xlfn.XLOOKUP(tblOrders[[#This Row],[ProductID]],Products!$A$2:$A$9,Products!$C$2:$C$9,"Unknown")</f>
        <v>Accessories</v>
      </c>
      <c r="L143">
        <f>_xlfn.XLOOKUP(tblOrders[[#This Row],[ProductID]],Products!$A$2:$A$9,Products!$D$2:$D$9,0)</f>
        <v>600</v>
      </c>
      <c r="M143">
        <f>tblOrders[[#This Row],[Quantity]]*tblOrders[[#This Row],[UnitPrice]]*(1-tblOrders[[#This Row],[Discount]])</f>
        <v>6300</v>
      </c>
      <c r="N143">
        <f>tblOrders[[#This Row],[Quantity]]*tblOrders[[#This Row],[UnitCost]]</f>
        <v>4200</v>
      </c>
      <c r="O143">
        <f>tblOrders[[#This Row],[Revenue]]-tblOrders[[#This Row],[Cost]]</f>
        <v>2100</v>
      </c>
      <c r="P143" t="str">
        <f>TEXT(tblOrders[[#This Row],[OrderDate]],"mmm")</f>
        <v>Aug</v>
      </c>
    </row>
    <row r="144" spans="1:16" x14ac:dyDescent="0.25">
      <c r="A144" t="s">
        <v>274</v>
      </c>
      <c r="B144" s="2">
        <v>45978</v>
      </c>
      <c r="C144" t="s">
        <v>42</v>
      </c>
      <c r="D144" t="s">
        <v>39</v>
      </c>
      <c r="E144" t="s">
        <v>76</v>
      </c>
      <c r="F144" t="s">
        <v>23</v>
      </c>
      <c r="G144">
        <v>8</v>
      </c>
      <c r="H144">
        <v>900</v>
      </c>
      <c r="I144">
        <v>0.05</v>
      </c>
      <c r="J144" t="str">
        <f>_xlfn.XLOOKUP(tblOrders[[#This Row],[ProductID]],Products!$A$2:$A$9,Products!$B$2:$B$9,"Unknown")</f>
        <v>Keyboard</v>
      </c>
      <c r="K144" t="str">
        <f>_xlfn.XLOOKUP(tblOrders[[#This Row],[ProductID]],Products!$A$2:$A$9,Products!$C$2:$C$9,"Unknown")</f>
        <v>Accessories</v>
      </c>
      <c r="L144">
        <f>_xlfn.XLOOKUP(tblOrders[[#This Row],[ProductID]],Products!$A$2:$A$9,Products!$D$2:$D$9,0)</f>
        <v>600</v>
      </c>
      <c r="M144">
        <f>tblOrders[[#This Row],[Quantity]]*tblOrders[[#This Row],[UnitPrice]]*(1-tblOrders[[#This Row],[Discount]])</f>
        <v>6840</v>
      </c>
      <c r="N144">
        <f>tblOrders[[#This Row],[Quantity]]*tblOrders[[#This Row],[UnitCost]]</f>
        <v>4800</v>
      </c>
      <c r="O144">
        <f>tblOrders[[#This Row],[Revenue]]-tblOrders[[#This Row],[Cost]]</f>
        <v>2040</v>
      </c>
      <c r="P144" t="str">
        <f>TEXT(tblOrders[[#This Row],[OrderDate]],"mmm")</f>
        <v>Nov</v>
      </c>
    </row>
    <row r="145" spans="1:16" x14ac:dyDescent="0.25">
      <c r="A145" t="s">
        <v>463</v>
      </c>
      <c r="B145" s="2">
        <v>45996</v>
      </c>
      <c r="C145" t="s">
        <v>15</v>
      </c>
      <c r="D145" t="s">
        <v>21</v>
      </c>
      <c r="E145" t="s">
        <v>22</v>
      </c>
      <c r="F145" t="s">
        <v>43</v>
      </c>
      <c r="G145">
        <v>14</v>
      </c>
      <c r="H145">
        <v>1500</v>
      </c>
      <c r="I145">
        <v>0</v>
      </c>
      <c r="J145" t="str">
        <f>_xlfn.XLOOKUP(tblOrders[[#This Row],[ProductID]],Products!$A$2:$A$9,Products!$B$2:$B$9,"Unknown")</f>
        <v>Webcam</v>
      </c>
      <c r="K145" t="str">
        <f>_xlfn.XLOOKUP(tblOrders[[#This Row],[ProductID]],Products!$A$2:$A$9,Products!$C$2:$C$9,"Unknown")</f>
        <v>Accessories</v>
      </c>
      <c r="L145">
        <f>_xlfn.XLOOKUP(tblOrders[[#This Row],[ProductID]],Products!$A$2:$A$9,Products!$D$2:$D$9,0)</f>
        <v>980</v>
      </c>
      <c r="M145">
        <f>tblOrders[[#This Row],[Quantity]]*tblOrders[[#This Row],[UnitPrice]]*(1-tblOrders[[#This Row],[Discount]])</f>
        <v>21000</v>
      </c>
      <c r="N145">
        <f>tblOrders[[#This Row],[Quantity]]*tblOrders[[#This Row],[UnitCost]]</f>
        <v>13720</v>
      </c>
      <c r="O145">
        <f>tblOrders[[#This Row],[Revenue]]-tblOrders[[#This Row],[Cost]]</f>
        <v>7280</v>
      </c>
      <c r="P145" t="str">
        <f>TEXT(tblOrders[[#This Row],[OrderDate]],"mmm")</f>
        <v>Dec</v>
      </c>
    </row>
    <row r="146" spans="1:16" x14ac:dyDescent="0.25">
      <c r="A146" t="s">
        <v>430</v>
      </c>
      <c r="B146" s="2">
        <v>45769</v>
      </c>
      <c r="C146" t="s">
        <v>20</v>
      </c>
      <c r="D146" t="s">
        <v>11</v>
      </c>
      <c r="E146" t="s">
        <v>46</v>
      </c>
      <c r="F146" t="s">
        <v>13</v>
      </c>
      <c r="G146">
        <v>9</v>
      </c>
      <c r="H146">
        <v>2000</v>
      </c>
      <c r="I146">
        <v>0.1</v>
      </c>
      <c r="J146" t="str">
        <f>_xlfn.XLOOKUP(tblOrders[[#This Row],[ProductID]],Products!$A$2:$A$9,Products!$B$2:$B$9,"Unknown")</f>
        <v>Headset</v>
      </c>
      <c r="K146" t="str">
        <f>_xlfn.XLOOKUP(tblOrders[[#This Row],[ProductID]],Products!$A$2:$A$9,Products!$C$2:$C$9,"Unknown")</f>
        <v>Accessories</v>
      </c>
      <c r="L146">
        <f>_xlfn.XLOOKUP(tblOrders[[#This Row],[ProductID]],Products!$A$2:$A$9,Products!$D$2:$D$9,0)</f>
        <v>1300</v>
      </c>
      <c r="M146">
        <f>tblOrders[[#This Row],[Quantity]]*tblOrders[[#This Row],[UnitPrice]]*(1-tblOrders[[#This Row],[Discount]])</f>
        <v>16200</v>
      </c>
      <c r="N146">
        <f>tblOrders[[#This Row],[Quantity]]*tblOrders[[#This Row],[UnitCost]]</f>
        <v>11700</v>
      </c>
      <c r="O146">
        <f>tblOrders[[#This Row],[Revenue]]-tblOrders[[#This Row],[Cost]]</f>
        <v>4500</v>
      </c>
      <c r="P146" t="str">
        <f>TEXT(tblOrders[[#This Row],[OrderDate]],"mmm")</f>
        <v>Apr</v>
      </c>
    </row>
    <row r="147" spans="1:16" x14ac:dyDescent="0.25">
      <c r="A147" t="s">
        <v>278</v>
      </c>
      <c r="B147" s="2">
        <v>45687</v>
      </c>
      <c r="C147" t="s">
        <v>73</v>
      </c>
      <c r="D147" t="s">
        <v>11</v>
      </c>
      <c r="E147" t="s">
        <v>46</v>
      </c>
      <c r="F147" t="s">
        <v>34</v>
      </c>
      <c r="G147">
        <v>14</v>
      </c>
      <c r="H147">
        <v>55000</v>
      </c>
      <c r="I147">
        <v>0.05</v>
      </c>
      <c r="J147" t="str">
        <f>_xlfn.XLOOKUP(tblOrders[[#This Row],[ProductID]],Products!$A$2:$A$9,Products!$B$2:$B$9,"Unknown")</f>
        <v>Laptop</v>
      </c>
      <c r="K147" t="str">
        <f>_xlfn.XLOOKUP(tblOrders[[#This Row],[ProductID]],Products!$A$2:$A$9,Products!$C$2:$C$9,"Unknown")</f>
        <v>Electronics</v>
      </c>
      <c r="L147">
        <f>_xlfn.XLOOKUP(tblOrders[[#This Row],[ProductID]],Products!$A$2:$A$9,Products!$D$2:$D$9,0)</f>
        <v>41000</v>
      </c>
      <c r="M147">
        <f>tblOrders[[#This Row],[Quantity]]*tblOrders[[#This Row],[UnitPrice]]*(1-tblOrders[[#This Row],[Discount]])</f>
        <v>731500</v>
      </c>
      <c r="N147">
        <f>tblOrders[[#This Row],[Quantity]]*tblOrders[[#This Row],[UnitCost]]</f>
        <v>574000</v>
      </c>
      <c r="O147">
        <f>tblOrders[[#This Row],[Revenue]]-tblOrders[[#This Row],[Cost]]</f>
        <v>157500</v>
      </c>
      <c r="P147" t="str">
        <f>TEXT(tblOrders[[#This Row],[OrderDate]],"mmm")</f>
        <v>Jan</v>
      </c>
    </row>
    <row r="148" spans="1:16" x14ac:dyDescent="0.25">
      <c r="A148" t="s">
        <v>966</v>
      </c>
      <c r="B148" s="2">
        <v>45888</v>
      </c>
      <c r="C148" t="s">
        <v>160</v>
      </c>
      <c r="D148" t="s">
        <v>11</v>
      </c>
      <c r="E148" t="s">
        <v>12</v>
      </c>
      <c r="F148" t="s">
        <v>13</v>
      </c>
      <c r="G148">
        <v>10</v>
      </c>
      <c r="H148">
        <v>2000</v>
      </c>
      <c r="I148">
        <v>0</v>
      </c>
      <c r="J148" t="str">
        <f>_xlfn.XLOOKUP(tblOrders[[#This Row],[ProductID]],Products!$A$2:$A$9,Products!$B$2:$B$9,"Unknown")</f>
        <v>Headset</v>
      </c>
      <c r="K148" t="str">
        <f>_xlfn.XLOOKUP(tblOrders[[#This Row],[ProductID]],Products!$A$2:$A$9,Products!$C$2:$C$9,"Unknown")</f>
        <v>Accessories</v>
      </c>
      <c r="L148">
        <f>_xlfn.XLOOKUP(tblOrders[[#This Row],[ProductID]],Products!$A$2:$A$9,Products!$D$2:$D$9,0)</f>
        <v>1300</v>
      </c>
      <c r="M148">
        <f>tblOrders[[#This Row],[Quantity]]*tblOrders[[#This Row],[UnitPrice]]*(1-tblOrders[[#This Row],[Discount]])</f>
        <v>20000</v>
      </c>
      <c r="N148">
        <f>tblOrders[[#This Row],[Quantity]]*tblOrders[[#This Row],[UnitCost]]</f>
        <v>13000</v>
      </c>
      <c r="O148">
        <f>tblOrders[[#This Row],[Revenue]]-tblOrders[[#This Row],[Cost]]</f>
        <v>7000</v>
      </c>
      <c r="P148" t="str">
        <f>TEXT(tblOrders[[#This Row],[OrderDate]],"mmm")</f>
        <v>Aug</v>
      </c>
    </row>
    <row r="149" spans="1:16" x14ac:dyDescent="0.25">
      <c r="A149" t="s">
        <v>77</v>
      </c>
      <c r="B149" s="2">
        <v>45822</v>
      </c>
      <c r="C149" t="s">
        <v>78</v>
      </c>
      <c r="D149" t="s">
        <v>11</v>
      </c>
      <c r="E149" t="s">
        <v>46</v>
      </c>
      <c r="F149" t="s">
        <v>23</v>
      </c>
      <c r="G149">
        <v>15</v>
      </c>
      <c r="H149">
        <v>900</v>
      </c>
      <c r="I149">
        <v>0.1</v>
      </c>
      <c r="J149" t="str">
        <f>_xlfn.XLOOKUP(tblOrders[[#This Row],[ProductID]],Products!$A$2:$A$9,Products!$B$2:$B$9,"Unknown")</f>
        <v>Keyboard</v>
      </c>
      <c r="K149" t="str">
        <f>_xlfn.XLOOKUP(tblOrders[[#This Row],[ProductID]],Products!$A$2:$A$9,Products!$C$2:$C$9,"Unknown")</f>
        <v>Accessories</v>
      </c>
      <c r="L149">
        <f>_xlfn.XLOOKUP(tblOrders[[#This Row],[ProductID]],Products!$A$2:$A$9,Products!$D$2:$D$9,0)</f>
        <v>600</v>
      </c>
      <c r="M149">
        <f>tblOrders[[#This Row],[Quantity]]*tblOrders[[#This Row],[UnitPrice]]*(1-tblOrders[[#This Row],[Discount]])</f>
        <v>12150</v>
      </c>
      <c r="N149">
        <f>tblOrders[[#This Row],[Quantity]]*tblOrders[[#This Row],[UnitCost]]</f>
        <v>9000</v>
      </c>
      <c r="O149">
        <f>tblOrders[[#This Row],[Revenue]]-tblOrders[[#This Row],[Cost]]</f>
        <v>3150</v>
      </c>
      <c r="P149" t="str">
        <f>TEXT(tblOrders[[#This Row],[OrderDate]],"mmm")</f>
        <v>Jun</v>
      </c>
    </row>
    <row r="150" spans="1:16" x14ac:dyDescent="0.25">
      <c r="A150" t="s">
        <v>443</v>
      </c>
      <c r="B150" s="2">
        <v>45922</v>
      </c>
      <c r="C150" t="s">
        <v>38</v>
      </c>
      <c r="D150" t="s">
        <v>21</v>
      </c>
      <c r="E150" t="s">
        <v>22</v>
      </c>
      <c r="F150" t="s">
        <v>69</v>
      </c>
      <c r="G150">
        <v>10</v>
      </c>
      <c r="H150">
        <v>12000</v>
      </c>
      <c r="I150">
        <v>0</v>
      </c>
      <c r="J150" t="str">
        <f>_xlfn.XLOOKUP(tblOrders[[#This Row],[ProductID]],Products!$A$2:$A$9,Products!$B$2:$B$9,"Unknown")</f>
        <v>Monitor</v>
      </c>
      <c r="K150" t="str">
        <f>_xlfn.XLOOKUP(tblOrders[[#This Row],[ProductID]],Products!$A$2:$A$9,Products!$C$2:$C$9,"Unknown")</f>
        <v>Electronics</v>
      </c>
      <c r="L150">
        <f>_xlfn.XLOOKUP(tblOrders[[#This Row],[ProductID]],Products!$A$2:$A$9,Products!$D$2:$D$9,0)</f>
        <v>9000</v>
      </c>
      <c r="M150">
        <f>tblOrders[[#This Row],[Quantity]]*tblOrders[[#This Row],[UnitPrice]]*(1-tblOrders[[#This Row],[Discount]])</f>
        <v>120000</v>
      </c>
      <c r="N150">
        <f>tblOrders[[#This Row],[Quantity]]*tblOrders[[#This Row],[UnitCost]]</f>
        <v>90000</v>
      </c>
      <c r="O150">
        <f>tblOrders[[#This Row],[Revenue]]-tblOrders[[#This Row],[Cost]]</f>
        <v>30000</v>
      </c>
      <c r="P150" t="str">
        <f>TEXT(tblOrders[[#This Row],[OrderDate]],"mmm")</f>
        <v>Sep</v>
      </c>
    </row>
    <row r="151" spans="1:16" x14ac:dyDescent="0.25">
      <c r="A151" t="s">
        <v>695</v>
      </c>
      <c r="B151" s="2">
        <v>45734</v>
      </c>
      <c r="C151" t="s">
        <v>153</v>
      </c>
      <c r="D151" t="s">
        <v>11</v>
      </c>
      <c r="E151" t="s">
        <v>12</v>
      </c>
      <c r="F151" t="s">
        <v>18</v>
      </c>
      <c r="G151">
        <v>6</v>
      </c>
      <c r="H151">
        <v>18000</v>
      </c>
      <c r="I151">
        <v>0</v>
      </c>
      <c r="J151" t="str">
        <f>_xlfn.XLOOKUP(tblOrders[[#This Row],[ProductID]],Products!$A$2:$A$9,Products!$B$2:$B$9,"Unknown")</f>
        <v>Tablet</v>
      </c>
      <c r="K151" t="str">
        <f>_xlfn.XLOOKUP(tblOrders[[#This Row],[ProductID]],Products!$A$2:$A$9,Products!$C$2:$C$9,"Unknown")</f>
        <v>Electronics</v>
      </c>
      <c r="L151">
        <f>_xlfn.XLOOKUP(tblOrders[[#This Row],[ProductID]],Products!$A$2:$A$9,Products!$D$2:$D$9,0)</f>
        <v>13500</v>
      </c>
      <c r="M151">
        <f>tblOrders[[#This Row],[Quantity]]*tblOrders[[#This Row],[UnitPrice]]*(1-tblOrders[[#This Row],[Discount]])</f>
        <v>108000</v>
      </c>
      <c r="N151">
        <f>tblOrders[[#This Row],[Quantity]]*tblOrders[[#This Row],[UnitCost]]</f>
        <v>81000</v>
      </c>
      <c r="O151">
        <f>tblOrders[[#This Row],[Revenue]]-tblOrders[[#This Row],[Cost]]</f>
        <v>27000</v>
      </c>
      <c r="P151" t="str">
        <f>TEXT(tblOrders[[#This Row],[OrderDate]],"mmm")</f>
        <v>Mar</v>
      </c>
    </row>
    <row r="152" spans="1:16" x14ac:dyDescent="0.25">
      <c r="A152" t="s">
        <v>400</v>
      </c>
      <c r="B152" s="2">
        <v>45667</v>
      </c>
      <c r="C152" t="s">
        <v>99</v>
      </c>
      <c r="D152" t="s">
        <v>11</v>
      </c>
      <c r="E152" t="s">
        <v>46</v>
      </c>
      <c r="F152" t="s">
        <v>13</v>
      </c>
      <c r="G152">
        <v>4</v>
      </c>
      <c r="H152">
        <v>2000</v>
      </c>
      <c r="I152">
        <v>0.15</v>
      </c>
      <c r="J152" t="str">
        <f>_xlfn.XLOOKUP(tblOrders[[#This Row],[ProductID]],Products!$A$2:$A$9,Products!$B$2:$B$9,"Unknown")</f>
        <v>Headset</v>
      </c>
      <c r="K152" t="str">
        <f>_xlfn.XLOOKUP(tblOrders[[#This Row],[ProductID]],Products!$A$2:$A$9,Products!$C$2:$C$9,"Unknown")</f>
        <v>Accessories</v>
      </c>
      <c r="L152">
        <f>_xlfn.XLOOKUP(tblOrders[[#This Row],[ProductID]],Products!$A$2:$A$9,Products!$D$2:$D$9,0)</f>
        <v>1300</v>
      </c>
      <c r="M152">
        <f>tblOrders[[#This Row],[Quantity]]*tblOrders[[#This Row],[UnitPrice]]*(1-tblOrders[[#This Row],[Discount]])</f>
        <v>6800</v>
      </c>
      <c r="N152">
        <f>tblOrders[[#This Row],[Quantity]]*tblOrders[[#This Row],[UnitCost]]</f>
        <v>5200</v>
      </c>
      <c r="O152">
        <f>tblOrders[[#This Row],[Revenue]]-tblOrders[[#This Row],[Cost]]</f>
        <v>1600</v>
      </c>
      <c r="P152" t="str">
        <f>TEXT(tblOrders[[#This Row],[OrderDate]],"mmm")</f>
        <v>Jan</v>
      </c>
    </row>
    <row r="153" spans="1:16" x14ac:dyDescent="0.25">
      <c r="A153" t="s">
        <v>698</v>
      </c>
      <c r="B153" s="2">
        <v>45764</v>
      </c>
      <c r="C153" t="s">
        <v>132</v>
      </c>
      <c r="D153" t="s">
        <v>21</v>
      </c>
      <c r="E153" t="s">
        <v>28</v>
      </c>
      <c r="F153" t="s">
        <v>13</v>
      </c>
      <c r="G153">
        <v>9</v>
      </c>
      <c r="H153">
        <v>2000</v>
      </c>
      <c r="I153">
        <v>0.05</v>
      </c>
      <c r="J153" t="str">
        <f>_xlfn.XLOOKUP(tblOrders[[#This Row],[ProductID]],Products!$A$2:$A$9,Products!$B$2:$B$9,"Unknown")</f>
        <v>Headset</v>
      </c>
      <c r="K153" t="str">
        <f>_xlfn.XLOOKUP(tblOrders[[#This Row],[ProductID]],Products!$A$2:$A$9,Products!$C$2:$C$9,"Unknown")</f>
        <v>Accessories</v>
      </c>
      <c r="L153">
        <f>_xlfn.XLOOKUP(tblOrders[[#This Row],[ProductID]],Products!$A$2:$A$9,Products!$D$2:$D$9,0)</f>
        <v>1300</v>
      </c>
      <c r="M153">
        <f>tblOrders[[#This Row],[Quantity]]*tblOrders[[#This Row],[UnitPrice]]*(1-tblOrders[[#This Row],[Discount]])</f>
        <v>17100</v>
      </c>
      <c r="N153">
        <f>tblOrders[[#This Row],[Quantity]]*tblOrders[[#This Row],[UnitCost]]</f>
        <v>11700</v>
      </c>
      <c r="O153">
        <f>tblOrders[[#This Row],[Revenue]]-tblOrders[[#This Row],[Cost]]</f>
        <v>5400</v>
      </c>
      <c r="P153" t="str">
        <f>TEXT(tblOrders[[#This Row],[OrderDate]],"mmm")</f>
        <v>Apr</v>
      </c>
    </row>
    <row r="154" spans="1:16" x14ac:dyDescent="0.25">
      <c r="A154" t="s">
        <v>915</v>
      </c>
      <c r="B154" s="2">
        <v>45819</v>
      </c>
      <c r="C154" t="s">
        <v>171</v>
      </c>
      <c r="D154" t="s">
        <v>16</v>
      </c>
      <c r="E154" t="s">
        <v>33</v>
      </c>
      <c r="F154" t="s">
        <v>13</v>
      </c>
      <c r="G154">
        <v>2</v>
      </c>
      <c r="H154">
        <v>2000</v>
      </c>
      <c r="I154">
        <v>0.1</v>
      </c>
      <c r="J154" t="str">
        <f>_xlfn.XLOOKUP(tblOrders[[#This Row],[ProductID]],Products!$A$2:$A$9,Products!$B$2:$B$9,"Unknown")</f>
        <v>Headset</v>
      </c>
      <c r="K154" t="str">
        <f>_xlfn.XLOOKUP(tblOrders[[#This Row],[ProductID]],Products!$A$2:$A$9,Products!$C$2:$C$9,"Unknown")</f>
        <v>Accessories</v>
      </c>
      <c r="L154">
        <f>_xlfn.XLOOKUP(tblOrders[[#This Row],[ProductID]],Products!$A$2:$A$9,Products!$D$2:$D$9,0)</f>
        <v>1300</v>
      </c>
      <c r="M154">
        <f>tblOrders[[#This Row],[Quantity]]*tblOrders[[#This Row],[UnitPrice]]*(1-tblOrders[[#This Row],[Discount]])</f>
        <v>3600</v>
      </c>
      <c r="N154">
        <f>tblOrders[[#This Row],[Quantity]]*tblOrders[[#This Row],[UnitCost]]</f>
        <v>2600</v>
      </c>
      <c r="O154">
        <f>tblOrders[[#This Row],[Revenue]]-tblOrders[[#This Row],[Cost]]</f>
        <v>1000</v>
      </c>
      <c r="P154" t="str">
        <f>TEXT(tblOrders[[#This Row],[OrderDate]],"mmm")</f>
        <v>Jun</v>
      </c>
    </row>
    <row r="155" spans="1:16" x14ac:dyDescent="0.25">
      <c r="A155" t="s">
        <v>637</v>
      </c>
      <c r="B155" s="2">
        <v>45999</v>
      </c>
      <c r="C155" t="s">
        <v>78</v>
      </c>
      <c r="D155" t="s">
        <v>21</v>
      </c>
      <c r="E155" t="s">
        <v>22</v>
      </c>
      <c r="F155" t="s">
        <v>64</v>
      </c>
      <c r="G155">
        <v>2</v>
      </c>
      <c r="H155">
        <v>500</v>
      </c>
      <c r="I155">
        <v>0.15</v>
      </c>
      <c r="J155" t="str">
        <f>_xlfn.XLOOKUP(tblOrders[[#This Row],[ProductID]],Products!$A$2:$A$9,Products!$B$2:$B$9,"Unknown")</f>
        <v>Mouse</v>
      </c>
      <c r="K155" t="str">
        <f>_xlfn.XLOOKUP(tblOrders[[#This Row],[ProductID]],Products!$A$2:$A$9,Products!$C$2:$C$9,"Unknown")</f>
        <v>Accessories</v>
      </c>
      <c r="L155">
        <f>_xlfn.XLOOKUP(tblOrders[[#This Row],[ProductID]],Products!$A$2:$A$9,Products!$D$2:$D$9,0)</f>
        <v>320</v>
      </c>
      <c r="M155">
        <f>tblOrders[[#This Row],[Quantity]]*tblOrders[[#This Row],[UnitPrice]]*(1-tblOrders[[#This Row],[Discount]])</f>
        <v>850</v>
      </c>
      <c r="N155">
        <f>tblOrders[[#This Row],[Quantity]]*tblOrders[[#This Row],[UnitCost]]</f>
        <v>640</v>
      </c>
      <c r="O155">
        <f>tblOrders[[#This Row],[Revenue]]-tblOrders[[#This Row],[Cost]]</f>
        <v>210</v>
      </c>
      <c r="P155" t="str">
        <f>TEXT(tblOrders[[#This Row],[OrderDate]],"mmm")</f>
        <v>Dec</v>
      </c>
    </row>
    <row r="156" spans="1:16" x14ac:dyDescent="0.25">
      <c r="A156" t="s">
        <v>665</v>
      </c>
      <c r="B156" s="2">
        <v>45999</v>
      </c>
      <c r="C156" t="s">
        <v>52</v>
      </c>
      <c r="D156" t="s">
        <v>39</v>
      </c>
      <c r="E156" t="s">
        <v>76</v>
      </c>
      <c r="F156" t="s">
        <v>43</v>
      </c>
      <c r="G156">
        <v>12</v>
      </c>
      <c r="H156">
        <v>1500</v>
      </c>
      <c r="I156">
        <v>0</v>
      </c>
      <c r="J156" t="str">
        <f>_xlfn.XLOOKUP(tblOrders[[#This Row],[ProductID]],Products!$A$2:$A$9,Products!$B$2:$B$9,"Unknown")</f>
        <v>Webcam</v>
      </c>
      <c r="K156" t="str">
        <f>_xlfn.XLOOKUP(tblOrders[[#This Row],[ProductID]],Products!$A$2:$A$9,Products!$C$2:$C$9,"Unknown")</f>
        <v>Accessories</v>
      </c>
      <c r="L156">
        <f>_xlfn.XLOOKUP(tblOrders[[#This Row],[ProductID]],Products!$A$2:$A$9,Products!$D$2:$D$9,0)</f>
        <v>980</v>
      </c>
      <c r="M156">
        <f>tblOrders[[#This Row],[Quantity]]*tblOrders[[#This Row],[UnitPrice]]*(1-tblOrders[[#This Row],[Discount]])</f>
        <v>18000</v>
      </c>
      <c r="N156">
        <f>tblOrders[[#This Row],[Quantity]]*tblOrders[[#This Row],[UnitCost]]</f>
        <v>11760</v>
      </c>
      <c r="O156">
        <f>tblOrders[[#This Row],[Revenue]]-tblOrders[[#This Row],[Cost]]</f>
        <v>6240</v>
      </c>
      <c r="P156" t="str">
        <f>TEXT(tblOrders[[#This Row],[OrderDate]],"mmm")</f>
        <v>Dec</v>
      </c>
    </row>
    <row r="157" spans="1:16" x14ac:dyDescent="0.25">
      <c r="A157" t="s">
        <v>1028</v>
      </c>
      <c r="B157" s="2">
        <v>45664</v>
      </c>
      <c r="C157" t="s">
        <v>71</v>
      </c>
      <c r="D157" t="s">
        <v>39</v>
      </c>
      <c r="E157" t="s">
        <v>40</v>
      </c>
      <c r="F157" t="s">
        <v>43</v>
      </c>
      <c r="G157">
        <v>4</v>
      </c>
      <c r="H157">
        <v>1500</v>
      </c>
      <c r="I157">
        <v>0</v>
      </c>
      <c r="J157" t="str">
        <f>_xlfn.XLOOKUP(tblOrders[[#This Row],[ProductID]],Products!$A$2:$A$9,Products!$B$2:$B$9,"Unknown")</f>
        <v>Webcam</v>
      </c>
      <c r="K157" t="str">
        <f>_xlfn.XLOOKUP(tblOrders[[#This Row],[ProductID]],Products!$A$2:$A$9,Products!$C$2:$C$9,"Unknown")</f>
        <v>Accessories</v>
      </c>
      <c r="L157">
        <f>_xlfn.XLOOKUP(tblOrders[[#This Row],[ProductID]],Products!$A$2:$A$9,Products!$D$2:$D$9,0)</f>
        <v>980</v>
      </c>
      <c r="M157">
        <f>tblOrders[[#This Row],[Quantity]]*tblOrders[[#This Row],[UnitPrice]]*(1-tblOrders[[#This Row],[Discount]])</f>
        <v>6000</v>
      </c>
      <c r="N157">
        <f>tblOrders[[#This Row],[Quantity]]*tblOrders[[#This Row],[UnitCost]]</f>
        <v>3920</v>
      </c>
      <c r="O157">
        <f>tblOrders[[#This Row],[Revenue]]-tblOrders[[#This Row],[Cost]]</f>
        <v>2080</v>
      </c>
      <c r="P157" t="str">
        <f>TEXT(tblOrders[[#This Row],[OrderDate]],"mmm")</f>
        <v>Jan</v>
      </c>
    </row>
    <row r="158" spans="1:16" x14ac:dyDescent="0.25">
      <c r="A158" t="s">
        <v>462</v>
      </c>
      <c r="B158" s="2">
        <v>45892</v>
      </c>
      <c r="C158" t="s">
        <v>103</v>
      </c>
      <c r="D158" t="s">
        <v>21</v>
      </c>
      <c r="E158" t="s">
        <v>28</v>
      </c>
      <c r="F158" t="s">
        <v>55</v>
      </c>
      <c r="G158">
        <v>15</v>
      </c>
      <c r="H158">
        <v>8000</v>
      </c>
      <c r="I158">
        <v>0.1</v>
      </c>
      <c r="J158" t="str">
        <f>_xlfn.XLOOKUP(tblOrders[[#This Row],[ProductID]],Products!$A$2:$A$9,Products!$B$2:$B$9,"Unknown")</f>
        <v>Printer</v>
      </c>
      <c r="K158" t="str">
        <f>_xlfn.XLOOKUP(tblOrders[[#This Row],[ProductID]],Products!$A$2:$A$9,Products!$C$2:$C$9,"Unknown")</f>
        <v>Electronics</v>
      </c>
      <c r="L158">
        <f>_xlfn.XLOOKUP(tblOrders[[#This Row],[ProductID]],Products!$A$2:$A$9,Products!$D$2:$D$9,0)</f>
        <v>6200</v>
      </c>
      <c r="M158">
        <f>tblOrders[[#This Row],[Quantity]]*tblOrders[[#This Row],[UnitPrice]]*(1-tblOrders[[#This Row],[Discount]])</f>
        <v>108000</v>
      </c>
      <c r="N158">
        <f>tblOrders[[#This Row],[Quantity]]*tblOrders[[#This Row],[UnitCost]]</f>
        <v>93000</v>
      </c>
      <c r="O158">
        <f>tblOrders[[#This Row],[Revenue]]-tblOrders[[#This Row],[Cost]]</f>
        <v>15000</v>
      </c>
      <c r="P158" t="str">
        <f>TEXT(tblOrders[[#This Row],[OrderDate]],"mmm")</f>
        <v>Aug</v>
      </c>
    </row>
    <row r="159" spans="1:16" x14ac:dyDescent="0.25">
      <c r="A159" t="s">
        <v>203</v>
      </c>
      <c r="B159" s="2">
        <v>45979</v>
      </c>
      <c r="C159" t="s">
        <v>36</v>
      </c>
      <c r="D159" t="s">
        <v>39</v>
      </c>
      <c r="E159" t="s">
        <v>40</v>
      </c>
      <c r="F159" t="s">
        <v>23</v>
      </c>
      <c r="G159">
        <v>6</v>
      </c>
      <c r="H159">
        <v>900</v>
      </c>
      <c r="I159">
        <v>0.05</v>
      </c>
      <c r="J159" t="str">
        <f>_xlfn.XLOOKUP(tblOrders[[#This Row],[ProductID]],Products!$A$2:$A$9,Products!$B$2:$B$9,"Unknown")</f>
        <v>Keyboard</v>
      </c>
      <c r="K159" t="str">
        <f>_xlfn.XLOOKUP(tblOrders[[#This Row],[ProductID]],Products!$A$2:$A$9,Products!$C$2:$C$9,"Unknown")</f>
        <v>Accessories</v>
      </c>
      <c r="L159">
        <f>_xlfn.XLOOKUP(tblOrders[[#This Row],[ProductID]],Products!$A$2:$A$9,Products!$D$2:$D$9,0)</f>
        <v>600</v>
      </c>
      <c r="M159">
        <f>tblOrders[[#This Row],[Quantity]]*tblOrders[[#This Row],[UnitPrice]]*(1-tblOrders[[#This Row],[Discount]])</f>
        <v>5130</v>
      </c>
      <c r="N159">
        <f>tblOrders[[#This Row],[Quantity]]*tblOrders[[#This Row],[UnitCost]]</f>
        <v>3600</v>
      </c>
      <c r="O159">
        <f>tblOrders[[#This Row],[Revenue]]-tblOrders[[#This Row],[Cost]]</f>
        <v>1530</v>
      </c>
      <c r="P159" t="str">
        <f>TEXT(tblOrders[[#This Row],[OrderDate]],"mmm")</f>
        <v>Nov</v>
      </c>
    </row>
    <row r="160" spans="1:16" x14ac:dyDescent="0.25">
      <c r="A160" t="s">
        <v>790</v>
      </c>
      <c r="B160" s="2">
        <v>45789</v>
      </c>
      <c r="C160" t="s">
        <v>261</v>
      </c>
      <c r="D160" t="s">
        <v>11</v>
      </c>
      <c r="E160" t="s">
        <v>46</v>
      </c>
      <c r="F160" t="s">
        <v>55</v>
      </c>
      <c r="G160">
        <v>7</v>
      </c>
      <c r="H160">
        <v>8000</v>
      </c>
      <c r="I160">
        <v>0.15</v>
      </c>
      <c r="J160" t="str">
        <f>_xlfn.XLOOKUP(tblOrders[[#This Row],[ProductID]],Products!$A$2:$A$9,Products!$B$2:$B$9,"Unknown")</f>
        <v>Printer</v>
      </c>
      <c r="K160" t="str">
        <f>_xlfn.XLOOKUP(tblOrders[[#This Row],[ProductID]],Products!$A$2:$A$9,Products!$C$2:$C$9,"Unknown")</f>
        <v>Electronics</v>
      </c>
      <c r="L160">
        <f>_xlfn.XLOOKUP(tblOrders[[#This Row],[ProductID]],Products!$A$2:$A$9,Products!$D$2:$D$9,0)</f>
        <v>6200</v>
      </c>
      <c r="M160">
        <f>tblOrders[[#This Row],[Quantity]]*tblOrders[[#This Row],[UnitPrice]]*(1-tblOrders[[#This Row],[Discount]])</f>
        <v>47600</v>
      </c>
      <c r="N160">
        <f>tblOrders[[#This Row],[Quantity]]*tblOrders[[#This Row],[UnitCost]]</f>
        <v>43400</v>
      </c>
      <c r="O160">
        <f>tblOrders[[#This Row],[Revenue]]-tblOrders[[#This Row],[Cost]]</f>
        <v>4200</v>
      </c>
      <c r="P160" t="str">
        <f>TEXT(tblOrders[[#This Row],[OrderDate]],"mmm")</f>
        <v>May</v>
      </c>
    </row>
    <row r="161" spans="1:16" x14ac:dyDescent="0.25">
      <c r="A161" t="s">
        <v>283</v>
      </c>
      <c r="B161" s="2">
        <v>45816</v>
      </c>
      <c r="C161" t="s">
        <v>135</v>
      </c>
      <c r="D161" t="s">
        <v>16</v>
      </c>
      <c r="E161" t="s">
        <v>33</v>
      </c>
      <c r="F161" t="s">
        <v>43</v>
      </c>
      <c r="G161">
        <v>12</v>
      </c>
      <c r="H161">
        <v>1500</v>
      </c>
      <c r="I161">
        <v>0.15</v>
      </c>
      <c r="J161" t="str">
        <f>_xlfn.XLOOKUP(tblOrders[[#This Row],[ProductID]],Products!$A$2:$A$9,Products!$B$2:$B$9,"Unknown")</f>
        <v>Webcam</v>
      </c>
      <c r="K161" t="str">
        <f>_xlfn.XLOOKUP(tblOrders[[#This Row],[ProductID]],Products!$A$2:$A$9,Products!$C$2:$C$9,"Unknown")</f>
        <v>Accessories</v>
      </c>
      <c r="L161">
        <f>_xlfn.XLOOKUP(tblOrders[[#This Row],[ProductID]],Products!$A$2:$A$9,Products!$D$2:$D$9,0)</f>
        <v>980</v>
      </c>
      <c r="M161">
        <f>tblOrders[[#This Row],[Quantity]]*tblOrders[[#This Row],[UnitPrice]]*(1-tblOrders[[#This Row],[Discount]])</f>
        <v>15300</v>
      </c>
      <c r="N161">
        <f>tblOrders[[#This Row],[Quantity]]*tblOrders[[#This Row],[UnitCost]]</f>
        <v>11760</v>
      </c>
      <c r="O161">
        <f>tblOrders[[#This Row],[Revenue]]-tblOrders[[#This Row],[Cost]]</f>
        <v>3540</v>
      </c>
      <c r="P161" t="str">
        <f>TEXT(tblOrders[[#This Row],[OrderDate]],"mmm")</f>
        <v>Jun</v>
      </c>
    </row>
    <row r="162" spans="1:16" x14ac:dyDescent="0.25">
      <c r="A162" t="s">
        <v>417</v>
      </c>
      <c r="B162" s="2">
        <v>45853</v>
      </c>
      <c r="C162" t="s">
        <v>245</v>
      </c>
      <c r="D162" t="s">
        <v>21</v>
      </c>
      <c r="E162" t="s">
        <v>22</v>
      </c>
      <c r="F162" t="s">
        <v>18</v>
      </c>
      <c r="G162">
        <v>3</v>
      </c>
      <c r="H162">
        <v>18000</v>
      </c>
      <c r="I162">
        <v>0.1</v>
      </c>
      <c r="J162" t="str">
        <f>_xlfn.XLOOKUP(tblOrders[[#This Row],[ProductID]],Products!$A$2:$A$9,Products!$B$2:$B$9,"Unknown")</f>
        <v>Tablet</v>
      </c>
      <c r="K162" t="str">
        <f>_xlfn.XLOOKUP(tblOrders[[#This Row],[ProductID]],Products!$A$2:$A$9,Products!$C$2:$C$9,"Unknown")</f>
        <v>Electronics</v>
      </c>
      <c r="L162">
        <f>_xlfn.XLOOKUP(tblOrders[[#This Row],[ProductID]],Products!$A$2:$A$9,Products!$D$2:$D$9,0)</f>
        <v>13500</v>
      </c>
      <c r="M162">
        <f>tblOrders[[#This Row],[Quantity]]*tblOrders[[#This Row],[UnitPrice]]*(1-tblOrders[[#This Row],[Discount]])</f>
        <v>48600</v>
      </c>
      <c r="N162">
        <f>tblOrders[[#This Row],[Quantity]]*tblOrders[[#This Row],[UnitCost]]</f>
        <v>40500</v>
      </c>
      <c r="O162">
        <f>tblOrders[[#This Row],[Revenue]]-tblOrders[[#This Row],[Cost]]</f>
        <v>8100</v>
      </c>
      <c r="P162" t="str">
        <f>TEXT(tblOrders[[#This Row],[OrderDate]],"mmm")</f>
        <v>Jul</v>
      </c>
    </row>
    <row r="163" spans="1:16" x14ac:dyDescent="0.25">
      <c r="A163" t="s">
        <v>1021</v>
      </c>
      <c r="B163" s="2">
        <v>46004</v>
      </c>
      <c r="C163" t="s">
        <v>10</v>
      </c>
      <c r="D163" t="s">
        <v>11</v>
      </c>
      <c r="E163" t="s">
        <v>46</v>
      </c>
      <c r="F163" t="s">
        <v>69</v>
      </c>
      <c r="G163">
        <v>4</v>
      </c>
      <c r="H163">
        <v>12000</v>
      </c>
      <c r="I163">
        <v>0.05</v>
      </c>
      <c r="J163" t="str">
        <f>_xlfn.XLOOKUP(tblOrders[[#This Row],[ProductID]],Products!$A$2:$A$9,Products!$B$2:$B$9,"Unknown")</f>
        <v>Monitor</v>
      </c>
      <c r="K163" t="str">
        <f>_xlfn.XLOOKUP(tblOrders[[#This Row],[ProductID]],Products!$A$2:$A$9,Products!$C$2:$C$9,"Unknown")</f>
        <v>Electronics</v>
      </c>
      <c r="L163">
        <f>_xlfn.XLOOKUP(tblOrders[[#This Row],[ProductID]],Products!$A$2:$A$9,Products!$D$2:$D$9,0)</f>
        <v>9000</v>
      </c>
      <c r="M163">
        <f>tblOrders[[#This Row],[Quantity]]*tblOrders[[#This Row],[UnitPrice]]*(1-tblOrders[[#This Row],[Discount]])</f>
        <v>45600</v>
      </c>
      <c r="N163">
        <f>tblOrders[[#This Row],[Quantity]]*tblOrders[[#This Row],[UnitCost]]</f>
        <v>36000</v>
      </c>
      <c r="O163">
        <f>tblOrders[[#This Row],[Revenue]]-tblOrders[[#This Row],[Cost]]</f>
        <v>9600</v>
      </c>
      <c r="P163" t="str">
        <f>TEXT(tblOrders[[#This Row],[OrderDate]],"mmm")</f>
        <v>Dec</v>
      </c>
    </row>
    <row r="164" spans="1:16" x14ac:dyDescent="0.25">
      <c r="A164" t="s">
        <v>453</v>
      </c>
      <c r="B164" s="2">
        <v>45961</v>
      </c>
      <c r="C164" t="s">
        <v>132</v>
      </c>
      <c r="D164" t="s">
        <v>21</v>
      </c>
      <c r="E164" t="s">
        <v>22</v>
      </c>
      <c r="F164" t="s">
        <v>18</v>
      </c>
      <c r="G164">
        <v>4</v>
      </c>
      <c r="H164">
        <v>18000</v>
      </c>
      <c r="I164">
        <v>0</v>
      </c>
      <c r="J164" t="str">
        <f>_xlfn.XLOOKUP(tblOrders[[#This Row],[ProductID]],Products!$A$2:$A$9,Products!$B$2:$B$9,"Unknown")</f>
        <v>Tablet</v>
      </c>
      <c r="K164" t="str">
        <f>_xlfn.XLOOKUP(tblOrders[[#This Row],[ProductID]],Products!$A$2:$A$9,Products!$C$2:$C$9,"Unknown")</f>
        <v>Electronics</v>
      </c>
      <c r="L164">
        <f>_xlfn.XLOOKUP(tblOrders[[#This Row],[ProductID]],Products!$A$2:$A$9,Products!$D$2:$D$9,0)</f>
        <v>13500</v>
      </c>
      <c r="M164">
        <f>tblOrders[[#This Row],[Quantity]]*tblOrders[[#This Row],[UnitPrice]]*(1-tblOrders[[#This Row],[Discount]])</f>
        <v>72000</v>
      </c>
      <c r="N164">
        <f>tblOrders[[#This Row],[Quantity]]*tblOrders[[#This Row],[UnitCost]]</f>
        <v>54000</v>
      </c>
      <c r="O164">
        <f>tblOrders[[#This Row],[Revenue]]-tblOrders[[#This Row],[Cost]]</f>
        <v>18000</v>
      </c>
      <c r="P164" t="str">
        <f>TEXT(tblOrders[[#This Row],[OrderDate]],"mmm")</f>
        <v>Oct</v>
      </c>
    </row>
    <row r="165" spans="1:16" x14ac:dyDescent="0.25">
      <c r="A165" t="s">
        <v>559</v>
      </c>
      <c r="B165" s="2">
        <v>45880</v>
      </c>
      <c r="C165" t="s">
        <v>80</v>
      </c>
      <c r="D165" t="s">
        <v>39</v>
      </c>
      <c r="E165" t="s">
        <v>40</v>
      </c>
      <c r="F165" t="s">
        <v>18</v>
      </c>
      <c r="G165">
        <v>6</v>
      </c>
      <c r="H165">
        <v>18000</v>
      </c>
      <c r="I165">
        <v>0.05</v>
      </c>
      <c r="J165" t="str">
        <f>_xlfn.XLOOKUP(tblOrders[[#This Row],[ProductID]],Products!$A$2:$A$9,Products!$B$2:$B$9,"Unknown")</f>
        <v>Tablet</v>
      </c>
      <c r="K165" t="str">
        <f>_xlfn.XLOOKUP(tblOrders[[#This Row],[ProductID]],Products!$A$2:$A$9,Products!$C$2:$C$9,"Unknown")</f>
        <v>Electronics</v>
      </c>
      <c r="L165">
        <f>_xlfn.XLOOKUP(tblOrders[[#This Row],[ProductID]],Products!$A$2:$A$9,Products!$D$2:$D$9,0)</f>
        <v>13500</v>
      </c>
      <c r="M165">
        <f>tblOrders[[#This Row],[Quantity]]*tblOrders[[#This Row],[UnitPrice]]*(1-tblOrders[[#This Row],[Discount]])</f>
        <v>102600</v>
      </c>
      <c r="N165">
        <f>tblOrders[[#This Row],[Quantity]]*tblOrders[[#This Row],[UnitCost]]</f>
        <v>81000</v>
      </c>
      <c r="O165">
        <f>tblOrders[[#This Row],[Revenue]]-tblOrders[[#This Row],[Cost]]</f>
        <v>21600</v>
      </c>
      <c r="P165" t="str">
        <f>TEXT(tblOrders[[#This Row],[OrderDate]],"mmm")</f>
        <v>Aug</v>
      </c>
    </row>
    <row r="166" spans="1:16" x14ac:dyDescent="0.25">
      <c r="A166" t="s">
        <v>842</v>
      </c>
      <c r="B166" s="2">
        <v>45989</v>
      </c>
      <c r="C166" t="s">
        <v>175</v>
      </c>
      <c r="D166" t="s">
        <v>11</v>
      </c>
      <c r="E166" t="s">
        <v>46</v>
      </c>
      <c r="F166" t="s">
        <v>69</v>
      </c>
      <c r="G166">
        <v>14</v>
      </c>
      <c r="H166">
        <v>12000</v>
      </c>
      <c r="I166">
        <v>0.15</v>
      </c>
      <c r="J166" t="str">
        <f>_xlfn.XLOOKUP(tblOrders[[#This Row],[ProductID]],Products!$A$2:$A$9,Products!$B$2:$B$9,"Unknown")</f>
        <v>Monitor</v>
      </c>
      <c r="K166" t="str">
        <f>_xlfn.XLOOKUP(tblOrders[[#This Row],[ProductID]],Products!$A$2:$A$9,Products!$C$2:$C$9,"Unknown")</f>
        <v>Electronics</v>
      </c>
      <c r="L166">
        <f>_xlfn.XLOOKUP(tblOrders[[#This Row],[ProductID]],Products!$A$2:$A$9,Products!$D$2:$D$9,0)</f>
        <v>9000</v>
      </c>
      <c r="M166">
        <f>tblOrders[[#This Row],[Quantity]]*tblOrders[[#This Row],[UnitPrice]]*(1-tblOrders[[#This Row],[Discount]])</f>
        <v>142800</v>
      </c>
      <c r="N166">
        <f>tblOrders[[#This Row],[Quantity]]*tblOrders[[#This Row],[UnitCost]]</f>
        <v>126000</v>
      </c>
      <c r="O166">
        <f>tblOrders[[#This Row],[Revenue]]-tblOrders[[#This Row],[Cost]]</f>
        <v>16800</v>
      </c>
      <c r="P166" t="str">
        <f>TEXT(tblOrders[[#This Row],[OrderDate]],"mmm")</f>
        <v>Nov</v>
      </c>
    </row>
    <row r="167" spans="1:16" x14ac:dyDescent="0.25">
      <c r="A167" t="s">
        <v>557</v>
      </c>
      <c r="B167" s="2">
        <v>45827</v>
      </c>
      <c r="C167" t="s">
        <v>153</v>
      </c>
      <c r="D167" t="s">
        <v>39</v>
      </c>
      <c r="E167" t="s">
        <v>76</v>
      </c>
      <c r="F167" t="s">
        <v>34</v>
      </c>
      <c r="G167">
        <v>12</v>
      </c>
      <c r="H167">
        <v>55000</v>
      </c>
      <c r="I167">
        <v>0.05</v>
      </c>
      <c r="J167" t="str">
        <f>_xlfn.XLOOKUP(tblOrders[[#This Row],[ProductID]],Products!$A$2:$A$9,Products!$B$2:$B$9,"Unknown")</f>
        <v>Laptop</v>
      </c>
      <c r="K167" t="str">
        <f>_xlfn.XLOOKUP(tblOrders[[#This Row],[ProductID]],Products!$A$2:$A$9,Products!$C$2:$C$9,"Unknown")</f>
        <v>Electronics</v>
      </c>
      <c r="L167">
        <f>_xlfn.XLOOKUP(tblOrders[[#This Row],[ProductID]],Products!$A$2:$A$9,Products!$D$2:$D$9,0)</f>
        <v>41000</v>
      </c>
      <c r="M167">
        <f>tblOrders[[#This Row],[Quantity]]*tblOrders[[#This Row],[UnitPrice]]*(1-tblOrders[[#This Row],[Discount]])</f>
        <v>627000</v>
      </c>
      <c r="N167">
        <f>tblOrders[[#This Row],[Quantity]]*tblOrders[[#This Row],[UnitCost]]</f>
        <v>492000</v>
      </c>
      <c r="O167">
        <f>tblOrders[[#This Row],[Revenue]]-tblOrders[[#This Row],[Cost]]</f>
        <v>135000</v>
      </c>
      <c r="P167" t="str">
        <f>TEXT(tblOrders[[#This Row],[OrderDate]],"mmm")</f>
        <v>Jun</v>
      </c>
    </row>
    <row r="168" spans="1:16" x14ac:dyDescent="0.25">
      <c r="A168" t="s">
        <v>487</v>
      </c>
      <c r="B168" s="2">
        <v>45783</v>
      </c>
      <c r="C168" t="s">
        <v>135</v>
      </c>
      <c r="D168" t="s">
        <v>21</v>
      </c>
      <c r="E168" t="s">
        <v>28</v>
      </c>
      <c r="F168" t="s">
        <v>23</v>
      </c>
      <c r="G168">
        <v>6</v>
      </c>
      <c r="H168">
        <v>900</v>
      </c>
      <c r="I168">
        <v>0</v>
      </c>
      <c r="J168" t="str">
        <f>_xlfn.XLOOKUP(tblOrders[[#This Row],[ProductID]],Products!$A$2:$A$9,Products!$B$2:$B$9,"Unknown")</f>
        <v>Keyboard</v>
      </c>
      <c r="K168" t="str">
        <f>_xlfn.XLOOKUP(tblOrders[[#This Row],[ProductID]],Products!$A$2:$A$9,Products!$C$2:$C$9,"Unknown")</f>
        <v>Accessories</v>
      </c>
      <c r="L168">
        <f>_xlfn.XLOOKUP(tblOrders[[#This Row],[ProductID]],Products!$A$2:$A$9,Products!$D$2:$D$9,0)</f>
        <v>600</v>
      </c>
      <c r="M168">
        <f>tblOrders[[#This Row],[Quantity]]*tblOrders[[#This Row],[UnitPrice]]*(1-tblOrders[[#This Row],[Discount]])</f>
        <v>5400</v>
      </c>
      <c r="N168">
        <f>tblOrders[[#This Row],[Quantity]]*tblOrders[[#This Row],[UnitCost]]</f>
        <v>3600</v>
      </c>
      <c r="O168">
        <f>tblOrders[[#This Row],[Revenue]]-tblOrders[[#This Row],[Cost]]</f>
        <v>1800</v>
      </c>
      <c r="P168" t="str">
        <f>TEXT(tblOrders[[#This Row],[OrderDate]],"mmm")</f>
        <v>May</v>
      </c>
    </row>
    <row r="169" spans="1:16" x14ac:dyDescent="0.25">
      <c r="A169" t="s">
        <v>100</v>
      </c>
      <c r="B169" s="2">
        <v>45991</v>
      </c>
      <c r="C169" t="s">
        <v>97</v>
      </c>
      <c r="D169" t="s">
        <v>39</v>
      </c>
      <c r="E169" t="s">
        <v>76</v>
      </c>
      <c r="F169" t="s">
        <v>18</v>
      </c>
      <c r="G169">
        <v>9</v>
      </c>
      <c r="H169">
        <v>18000</v>
      </c>
      <c r="I169">
        <v>0.05</v>
      </c>
      <c r="J169" t="str">
        <f>_xlfn.XLOOKUP(tblOrders[[#This Row],[ProductID]],Products!$A$2:$A$9,Products!$B$2:$B$9,"Unknown")</f>
        <v>Tablet</v>
      </c>
      <c r="K169" t="str">
        <f>_xlfn.XLOOKUP(tblOrders[[#This Row],[ProductID]],Products!$A$2:$A$9,Products!$C$2:$C$9,"Unknown")</f>
        <v>Electronics</v>
      </c>
      <c r="L169">
        <f>_xlfn.XLOOKUP(tblOrders[[#This Row],[ProductID]],Products!$A$2:$A$9,Products!$D$2:$D$9,0)</f>
        <v>13500</v>
      </c>
      <c r="M169">
        <f>tblOrders[[#This Row],[Quantity]]*tblOrders[[#This Row],[UnitPrice]]*(1-tblOrders[[#This Row],[Discount]])</f>
        <v>153900</v>
      </c>
      <c r="N169">
        <f>tblOrders[[#This Row],[Quantity]]*tblOrders[[#This Row],[UnitCost]]</f>
        <v>121500</v>
      </c>
      <c r="O169">
        <f>tblOrders[[#This Row],[Revenue]]-tblOrders[[#This Row],[Cost]]</f>
        <v>32400</v>
      </c>
      <c r="P169" t="str">
        <f>TEXT(tblOrders[[#This Row],[OrderDate]],"mmm")</f>
        <v>Nov</v>
      </c>
    </row>
    <row r="170" spans="1:16" x14ac:dyDescent="0.25">
      <c r="A170" t="s">
        <v>652</v>
      </c>
      <c r="B170" s="2">
        <v>45808</v>
      </c>
      <c r="C170" t="s">
        <v>73</v>
      </c>
      <c r="D170" t="s">
        <v>21</v>
      </c>
      <c r="E170" t="s">
        <v>28</v>
      </c>
      <c r="F170" t="s">
        <v>69</v>
      </c>
      <c r="G170">
        <v>5</v>
      </c>
      <c r="H170">
        <v>12000</v>
      </c>
      <c r="I170">
        <v>0.1</v>
      </c>
      <c r="J170" t="str">
        <f>_xlfn.XLOOKUP(tblOrders[[#This Row],[ProductID]],Products!$A$2:$A$9,Products!$B$2:$B$9,"Unknown")</f>
        <v>Monitor</v>
      </c>
      <c r="K170" t="str">
        <f>_xlfn.XLOOKUP(tblOrders[[#This Row],[ProductID]],Products!$A$2:$A$9,Products!$C$2:$C$9,"Unknown")</f>
        <v>Electronics</v>
      </c>
      <c r="L170">
        <f>_xlfn.XLOOKUP(tblOrders[[#This Row],[ProductID]],Products!$A$2:$A$9,Products!$D$2:$D$9,0)</f>
        <v>9000</v>
      </c>
      <c r="M170">
        <f>tblOrders[[#This Row],[Quantity]]*tblOrders[[#This Row],[UnitPrice]]*(1-tblOrders[[#This Row],[Discount]])</f>
        <v>54000</v>
      </c>
      <c r="N170">
        <f>tblOrders[[#This Row],[Quantity]]*tblOrders[[#This Row],[UnitCost]]</f>
        <v>45000</v>
      </c>
      <c r="O170">
        <f>tblOrders[[#This Row],[Revenue]]-tblOrders[[#This Row],[Cost]]</f>
        <v>9000</v>
      </c>
      <c r="P170" t="str">
        <f>TEXT(tblOrders[[#This Row],[OrderDate]],"mmm")</f>
        <v>May</v>
      </c>
    </row>
    <row r="171" spans="1:16" x14ac:dyDescent="0.25">
      <c r="A171" t="s">
        <v>53</v>
      </c>
      <c r="B171" s="2">
        <v>45951</v>
      </c>
      <c r="C171" t="s">
        <v>54</v>
      </c>
      <c r="D171" t="s">
        <v>11</v>
      </c>
      <c r="E171" t="s">
        <v>12</v>
      </c>
      <c r="F171" t="s">
        <v>55</v>
      </c>
      <c r="G171">
        <v>10</v>
      </c>
      <c r="H171">
        <v>8000</v>
      </c>
      <c r="I171">
        <v>0</v>
      </c>
      <c r="J171" t="str">
        <f>_xlfn.XLOOKUP(tblOrders[[#This Row],[ProductID]],Products!$A$2:$A$9,Products!$B$2:$B$9,"Unknown")</f>
        <v>Printer</v>
      </c>
      <c r="K171" t="str">
        <f>_xlfn.XLOOKUP(tblOrders[[#This Row],[ProductID]],Products!$A$2:$A$9,Products!$C$2:$C$9,"Unknown")</f>
        <v>Electronics</v>
      </c>
      <c r="L171">
        <f>_xlfn.XLOOKUP(tblOrders[[#This Row],[ProductID]],Products!$A$2:$A$9,Products!$D$2:$D$9,0)</f>
        <v>6200</v>
      </c>
      <c r="M171">
        <f>tblOrders[[#This Row],[Quantity]]*tblOrders[[#This Row],[UnitPrice]]*(1-tblOrders[[#This Row],[Discount]])</f>
        <v>80000</v>
      </c>
      <c r="N171">
        <f>tblOrders[[#This Row],[Quantity]]*tblOrders[[#This Row],[UnitCost]]</f>
        <v>62000</v>
      </c>
      <c r="O171">
        <f>tblOrders[[#This Row],[Revenue]]-tblOrders[[#This Row],[Cost]]</f>
        <v>18000</v>
      </c>
      <c r="P171" t="str">
        <f>TEXT(tblOrders[[#This Row],[OrderDate]],"mmm")</f>
        <v>Oct</v>
      </c>
    </row>
    <row r="172" spans="1:16" x14ac:dyDescent="0.25">
      <c r="A172" t="s">
        <v>380</v>
      </c>
      <c r="B172" s="2">
        <v>45700</v>
      </c>
      <c r="C172" t="s">
        <v>160</v>
      </c>
      <c r="D172" t="s">
        <v>11</v>
      </c>
      <c r="E172" t="s">
        <v>46</v>
      </c>
      <c r="F172" t="s">
        <v>55</v>
      </c>
      <c r="G172">
        <v>8</v>
      </c>
      <c r="H172">
        <v>8000</v>
      </c>
      <c r="I172">
        <v>0.1</v>
      </c>
      <c r="J172" t="str">
        <f>_xlfn.XLOOKUP(tblOrders[[#This Row],[ProductID]],Products!$A$2:$A$9,Products!$B$2:$B$9,"Unknown")</f>
        <v>Printer</v>
      </c>
      <c r="K172" t="str">
        <f>_xlfn.XLOOKUP(tblOrders[[#This Row],[ProductID]],Products!$A$2:$A$9,Products!$C$2:$C$9,"Unknown")</f>
        <v>Electronics</v>
      </c>
      <c r="L172">
        <f>_xlfn.XLOOKUP(tblOrders[[#This Row],[ProductID]],Products!$A$2:$A$9,Products!$D$2:$D$9,0)</f>
        <v>6200</v>
      </c>
      <c r="M172">
        <f>tblOrders[[#This Row],[Quantity]]*tblOrders[[#This Row],[UnitPrice]]*(1-tblOrders[[#This Row],[Discount]])</f>
        <v>57600</v>
      </c>
      <c r="N172">
        <f>tblOrders[[#This Row],[Quantity]]*tblOrders[[#This Row],[UnitCost]]</f>
        <v>49600</v>
      </c>
      <c r="O172">
        <f>tblOrders[[#This Row],[Revenue]]-tblOrders[[#This Row],[Cost]]</f>
        <v>8000</v>
      </c>
      <c r="P172" t="str">
        <f>TEXT(tblOrders[[#This Row],[OrderDate]],"mmm")</f>
        <v>Feb</v>
      </c>
    </row>
    <row r="173" spans="1:16" x14ac:dyDescent="0.25">
      <c r="A173" t="s">
        <v>299</v>
      </c>
      <c r="B173" s="2">
        <v>45826</v>
      </c>
      <c r="C173" t="s">
        <v>30</v>
      </c>
      <c r="D173" t="s">
        <v>21</v>
      </c>
      <c r="E173" t="s">
        <v>22</v>
      </c>
      <c r="F173" t="s">
        <v>64</v>
      </c>
      <c r="G173">
        <v>5</v>
      </c>
      <c r="H173">
        <v>500</v>
      </c>
      <c r="I173">
        <v>0.05</v>
      </c>
      <c r="J173" t="str">
        <f>_xlfn.XLOOKUP(tblOrders[[#This Row],[ProductID]],Products!$A$2:$A$9,Products!$B$2:$B$9,"Unknown")</f>
        <v>Mouse</v>
      </c>
      <c r="K173" t="str">
        <f>_xlfn.XLOOKUP(tblOrders[[#This Row],[ProductID]],Products!$A$2:$A$9,Products!$C$2:$C$9,"Unknown")</f>
        <v>Accessories</v>
      </c>
      <c r="L173">
        <f>_xlfn.XLOOKUP(tblOrders[[#This Row],[ProductID]],Products!$A$2:$A$9,Products!$D$2:$D$9,0)</f>
        <v>320</v>
      </c>
      <c r="M173">
        <f>tblOrders[[#This Row],[Quantity]]*tblOrders[[#This Row],[UnitPrice]]*(1-tblOrders[[#This Row],[Discount]])</f>
        <v>2375</v>
      </c>
      <c r="N173">
        <f>tblOrders[[#This Row],[Quantity]]*tblOrders[[#This Row],[UnitCost]]</f>
        <v>1600</v>
      </c>
      <c r="O173">
        <f>tblOrders[[#This Row],[Revenue]]-tblOrders[[#This Row],[Cost]]</f>
        <v>775</v>
      </c>
      <c r="P173" t="str">
        <f>TEXT(tblOrders[[#This Row],[OrderDate]],"mmm")</f>
        <v>Jun</v>
      </c>
    </row>
    <row r="174" spans="1:16" x14ac:dyDescent="0.25">
      <c r="A174" t="s">
        <v>272</v>
      </c>
      <c r="B174" s="2">
        <v>45889</v>
      </c>
      <c r="C174" t="s">
        <v>105</v>
      </c>
      <c r="D174" t="s">
        <v>11</v>
      </c>
      <c r="E174" t="s">
        <v>12</v>
      </c>
      <c r="F174" t="s">
        <v>55</v>
      </c>
      <c r="G174">
        <v>15</v>
      </c>
      <c r="H174">
        <v>8000</v>
      </c>
      <c r="I174">
        <v>0.1</v>
      </c>
      <c r="J174" t="str">
        <f>_xlfn.XLOOKUP(tblOrders[[#This Row],[ProductID]],Products!$A$2:$A$9,Products!$B$2:$B$9,"Unknown")</f>
        <v>Printer</v>
      </c>
      <c r="K174" t="str">
        <f>_xlfn.XLOOKUP(tblOrders[[#This Row],[ProductID]],Products!$A$2:$A$9,Products!$C$2:$C$9,"Unknown")</f>
        <v>Electronics</v>
      </c>
      <c r="L174">
        <f>_xlfn.XLOOKUP(tblOrders[[#This Row],[ProductID]],Products!$A$2:$A$9,Products!$D$2:$D$9,0)</f>
        <v>6200</v>
      </c>
      <c r="M174">
        <f>tblOrders[[#This Row],[Quantity]]*tblOrders[[#This Row],[UnitPrice]]*(1-tblOrders[[#This Row],[Discount]])</f>
        <v>108000</v>
      </c>
      <c r="N174">
        <f>tblOrders[[#This Row],[Quantity]]*tblOrders[[#This Row],[UnitCost]]</f>
        <v>93000</v>
      </c>
      <c r="O174">
        <f>tblOrders[[#This Row],[Revenue]]-tblOrders[[#This Row],[Cost]]</f>
        <v>15000</v>
      </c>
      <c r="P174" t="str">
        <f>TEXT(tblOrders[[#This Row],[OrderDate]],"mmm")</f>
        <v>Aug</v>
      </c>
    </row>
    <row r="175" spans="1:16" x14ac:dyDescent="0.25">
      <c r="A175" t="s">
        <v>91</v>
      </c>
      <c r="B175" s="2">
        <v>45944</v>
      </c>
      <c r="C175" t="s">
        <v>73</v>
      </c>
      <c r="D175" t="s">
        <v>16</v>
      </c>
      <c r="E175" t="s">
        <v>33</v>
      </c>
      <c r="F175" t="s">
        <v>69</v>
      </c>
      <c r="G175">
        <v>15</v>
      </c>
      <c r="H175">
        <v>12000</v>
      </c>
      <c r="I175">
        <v>0.15</v>
      </c>
      <c r="J175" t="str">
        <f>_xlfn.XLOOKUP(tblOrders[[#This Row],[ProductID]],Products!$A$2:$A$9,Products!$B$2:$B$9,"Unknown")</f>
        <v>Monitor</v>
      </c>
      <c r="K175" t="str">
        <f>_xlfn.XLOOKUP(tblOrders[[#This Row],[ProductID]],Products!$A$2:$A$9,Products!$C$2:$C$9,"Unknown")</f>
        <v>Electronics</v>
      </c>
      <c r="L175">
        <f>_xlfn.XLOOKUP(tblOrders[[#This Row],[ProductID]],Products!$A$2:$A$9,Products!$D$2:$D$9,0)</f>
        <v>9000</v>
      </c>
      <c r="M175">
        <f>tblOrders[[#This Row],[Quantity]]*tblOrders[[#This Row],[UnitPrice]]*(1-tblOrders[[#This Row],[Discount]])</f>
        <v>153000</v>
      </c>
      <c r="N175">
        <f>tblOrders[[#This Row],[Quantity]]*tblOrders[[#This Row],[UnitCost]]</f>
        <v>135000</v>
      </c>
      <c r="O175">
        <f>tblOrders[[#This Row],[Revenue]]-tblOrders[[#This Row],[Cost]]</f>
        <v>18000</v>
      </c>
      <c r="P175" t="str">
        <f>TEXT(tblOrders[[#This Row],[OrderDate]],"mmm")</f>
        <v>Oct</v>
      </c>
    </row>
    <row r="176" spans="1:16" x14ac:dyDescent="0.25">
      <c r="A176" t="s">
        <v>953</v>
      </c>
      <c r="B176" s="2">
        <v>45965</v>
      </c>
      <c r="C176" t="s">
        <v>32</v>
      </c>
      <c r="D176" t="s">
        <v>11</v>
      </c>
      <c r="E176" t="s">
        <v>46</v>
      </c>
      <c r="F176" t="s">
        <v>18</v>
      </c>
      <c r="G176">
        <v>15</v>
      </c>
      <c r="H176">
        <v>18000</v>
      </c>
      <c r="I176">
        <v>0</v>
      </c>
      <c r="J176" t="str">
        <f>_xlfn.XLOOKUP(tblOrders[[#This Row],[ProductID]],Products!$A$2:$A$9,Products!$B$2:$B$9,"Unknown")</f>
        <v>Tablet</v>
      </c>
      <c r="K176" t="str">
        <f>_xlfn.XLOOKUP(tblOrders[[#This Row],[ProductID]],Products!$A$2:$A$9,Products!$C$2:$C$9,"Unknown")</f>
        <v>Electronics</v>
      </c>
      <c r="L176">
        <f>_xlfn.XLOOKUP(tblOrders[[#This Row],[ProductID]],Products!$A$2:$A$9,Products!$D$2:$D$9,0)</f>
        <v>13500</v>
      </c>
      <c r="M176">
        <f>tblOrders[[#This Row],[Quantity]]*tblOrders[[#This Row],[UnitPrice]]*(1-tblOrders[[#This Row],[Discount]])</f>
        <v>270000</v>
      </c>
      <c r="N176">
        <f>tblOrders[[#This Row],[Quantity]]*tblOrders[[#This Row],[UnitCost]]</f>
        <v>202500</v>
      </c>
      <c r="O176">
        <f>tblOrders[[#This Row],[Revenue]]-tblOrders[[#This Row],[Cost]]</f>
        <v>67500</v>
      </c>
      <c r="P176" t="str">
        <f>TEXT(tblOrders[[#This Row],[OrderDate]],"mmm")</f>
        <v>Nov</v>
      </c>
    </row>
    <row r="177" spans="1:16" x14ac:dyDescent="0.25">
      <c r="A177" t="s">
        <v>95</v>
      </c>
      <c r="B177" s="2">
        <v>45781</v>
      </c>
      <c r="C177" t="s">
        <v>1102</v>
      </c>
      <c r="D177" t="s">
        <v>16</v>
      </c>
      <c r="E177" t="s">
        <v>17</v>
      </c>
      <c r="F177" t="s">
        <v>69</v>
      </c>
      <c r="G177">
        <v>3</v>
      </c>
      <c r="H177">
        <v>12000</v>
      </c>
      <c r="I177">
        <v>0.1</v>
      </c>
      <c r="J177" t="str">
        <f>_xlfn.XLOOKUP(tblOrders[[#This Row],[ProductID]],Products!$A$2:$A$9,Products!$B$2:$B$9,"Unknown")</f>
        <v>Monitor</v>
      </c>
      <c r="K177" t="str">
        <f>_xlfn.XLOOKUP(tblOrders[[#This Row],[ProductID]],Products!$A$2:$A$9,Products!$C$2:$C$9,"Unknown")</f>
        <v>Electronics</v>
      </c>
      <c r="L177">
        <f>_xlfn.XLOOKUP(tblOrders[[#This Row],[ProductID]],Products!$A$2:$A$9,Products!$D$2:$D$9,0)</f>
        <v>9000</v>
      </c>
      <c r="M177">
        <f>tblOrders[[#This Row],[Quantity]]*tblOrders[[#This Row],[UnitPrice]]*(1-tblOrders[[#This Row],[Discount]])</f>
        <v>32400</v>
      </c>
      <c r="N177">
        <f>tblOrders[[#This Row],[Quantity]]*tblOrders[[#This Row],[UnitCost]]</f>
        <v>27000</v>
      </c>
      <c r="O177">
        <f>tblOrders[[#This Row],[Revenue]]-tblOrders[[#This Row],[Cost]]</f>
        <v>5400</v>
      </c>
      <c r="P177" t="str">
        <f>TEXT(tblOrders[[#This Row],[OrderDate]],"mmm")</f>
        <v>May</v>
      </c>
    </row>
    <row r="178" spans="1:16" x14ac:dyDescent="0.25">
      <c r="A178" t="s">
        <v>540</v>
      </c>
      <c r="B178" s="2">
        <v>45890</v>
      </c>
      <c r="C178" t="s">
        <v>78</v>
      </c>
      <c r="D178" t="s">
        <v>21</v>
      </c>
      <c r="E178" t="s">
        <v>28</v>
      </c>
      <c r="F178" t="s">
        <v>13</v>
      </c>
      <c r="G178">
        <v>3</v>
      </c>
      <c r="H178">
        <v>2000</v>
      </c>
      <c r="I178">
        <v>0.15</v>
      </c>
      <c r="J178" t="str">
        <f>_xlfn.XLOOKUP(tblOrders[[#This Row],[ProductID]],Products!$A$2:$A$9,Products!$B$2:$B$9,"Unknown")</f>
        <v>Headset</v>
      </c>
      <c r="K178" t="str">
        <f>_xlfn.XLOOKUP(tblOrders[[#This Row],[ProductID]],Products!$A$2:$A$9,Products!$C$2:$C$9,"Unknown")</f>
        <v>Accessories</v>
      </c>
      <c r="L178">
        <f>_xlfn.XLOOKUP(tblOrders[[#This Row],[ProductID]],Products!$A$2:$A$9,Products!$D$2:$D$9,0)</f>
        <v>1300</v>
      </c>
      <c r="M178">
        <f>tblOrders[[#This Row],[Quantity]]*tblOrders[[#This Row],[UnitPrice]]*(1-tblOrders[[#This Row],[Discount]])</f>
        <v>5100</v>
      </c>
      <c r="N178">
        <f>tblOrders[[#This Row],[Quantity]]*tblOrders[[#This Row],[UnitCost]]</f>
        <v>3900</v>
      </c>
      <c r="O178">
        <f>tblOrders[[#This Row],[Revenue]]-tblOrders[[#This Row],[Cost]]</f>
        <v>1200</v>
      </c>
      <c r="P178" t="str">
        <f>TEXT(tblOrders[[#This Row],[OrderDate]],"mmm")</f>
        <v>Aug</v>
      </c>
    </row>
    <row r="179" spans="1:16" x14ac:dyDescent="0.25">
      <c r="A179" t="s">
        <v>159</v>
      </c>
      <c r="B179" s="2">
        <v>46001</v>
      </c>
      <c r="C179" t="s">
        <v>160</v>
      </c>
      <c r="D179" t="s">
        <v>39</v>
      </c>
      <c r="E179" t="s">
        <v>76</v>
      </c>
      <c r="F179" t="s">
        <v>34</v>
      </c>
      <c r="G179">
        <v>3</v>
      </c>
      <c r="H179">
        <v>55000</v>
      </c>
      <c r="I179">
        <v>0</v>
      </c>
      <c r="J179" t="str">
        <f>_xlfn.XLOOKUP(tblOrders[[#This Row],[ProductID]],Products!$A$2:$A$9,Products!$B$2:$B$9,"Unknown")</f>
        <v>Laptop</v>
      </c>
      <c r="K179" t="str">
        <f>_xlfn.XLOOKUP(tblOrders[[#This Row],[ProductID]],Products!$A$2:$A$9,Products!$C$2:$C$9,"Unknown")</f>
        <v>Electronics</v>
      </c>
      <c r="L179">
        <f>_xlfn.XLOOKUP(tblOrders[[#This Row],[ProductID]],Products!$A$2:$A$9,Products!$D$2:$D$9,0)</f>
        <v>41000</v>
      </c>
      <c r="M179">
        <f>tblOrders[[#This Row],[Quantity]]*tblOrders[[#This Row],[UnitPrice]]*(1-tblOrders[[#This Row],[Discount]])</f>
        <v>165000</v>
      </c>
      <c r="N179">
        <f>tblOrders[[#This Row],[Quantity]]*tblOrders[[#This Row],[UnitCost]]</f>
        <v>123000</v>
      </c>
      <c r="O179">
        <f>tblOrders[[#This Row],[Revenue]]-tblOrders[[#This Row],[Cost]]</f>
        <v>42000</v>
      </c>
      <c r="P179" t="str">
        <f>TEXT(tblOrders[[#This Row],[OrderDate]],"mmm")</f>
        <v>Dec</v>
      </c>
    </row>
    <row r="180" spans="1:16" x14ac:dyDescent="0.25">
      <c r="A180" t="s">
        <v>1060</v>
      </c>
      <c r="B180" s="2">
        <v>45674</v>
      </c>
      <c r="C180" t="s">
        <v>15</v>
      </c>
      <c r="D180" t="s">
        <v>11</v>
      </c>
      <c r="E180" t="s">
        <v>12</v>
      </c>
      <c r="F180" t="s">
        <v>13</v>
      </c>
      <c r="G180">
        <v>2</v>
      </c>
      <c r="H180">
        <v>2000</v>
      </c>
      <c r="I180">
        <v>0.1</v>
      </c>
      <c r="J180" t="str">
        <f>_xlfn.XLOOKUP(tblOrders[[#This Row],[ProductID]],Products!$A$2:$A$9,Products!$B$2:$B$9,"Unknown")</f>
        <v>Headset</v>
      </c>
      <c r="K180" t="str">
        <f>_xlfn.XLOOKUP(tblOrders[[#This Row],[ProductID]],Products!$A$2:$A$9,Products!$C$2:$C$9,"Unknown")</f>
        <v>Accessories</v>
      </c>
      <c r="L180">
        <f>_xlfn.XLOOKUP(tblOrders[[#This Row],[ProductID]],Products!$A$2:$A$9,Products!$D$2:$D$9,0)</f>
        <v>1300</v>
      </c>
      <c r="M180">
        <f>tblOrders[[#This Row],[Quantity]]*tblOrders[[#This Row],[UnitPrice]]*(1-tblOrders[[#This Row],[Discount]])</f>
        <v>3600</v>
      </c>
      <c r="N180">
        <f>tblOrders[[#This Row],[Quantity]]*tblOrders[[#This Row],[UnitCost]]</f>
        <v>2600</v>
      </c>
      <c r="O180">
        <f>tblOrders[[#This Row],[Revenue]]-tblOrders[[#This Row],[Cost]]</f>
        <v>1000</v>
      </c>
      <c r="P180" t="str">
        <f>TEXT(tblOrders[[#This Row],[OrderDate]],"mmm")</f>
        <v>Jan</v>
      </c>
    </row>
    <row r="181" spans="1:16" x14ac:dyDescent="0.25">
      <c r="A181" t="s">
        <v>658</v>
      </c>
      <c r="B181" s="2">
        <v>45830</v>
      </c>
      <c r="C181" t="s">
        <v>80</v>
      </c>
      <c r="D181" t="s">
        <v>11</v>
      </c>
      <c r="E181" t="s">
        <v>46</v>
      </c>
      <c r="F181" t="s">
        <v>23</v>
      </c>
      <c r="G181">
        <v>4</v>
      </c>
      <c r="H181">
        <v>900</v>
      </c>
      <c r="I181">
        <v>0.1</v>
      </c>
      <c r="J181" t="str">
        <f>_xlfn.XLOOKUP(tblOrders[[#This Row],[ProductID]],Products!$A$2:$A$9,Products!$B$2:$B$9,"Unknown")</f>
        <v>Keyboard</v>
      </c>
      <c r="K181" t="str">
        <f>_xlfn.XLOOKUP(tblOrders[[#This Row],[ProductID]],Products!$A$2:$A$9,Products!$C$2:$C$9,"Unknown")</f>
        <v>Accessories</v>
      </c>
      <c r="L181">
        <f>_xlfn.XLOOKUP(tblOrders[[#This Row],[ProductID]],Products!$A$2:$A$9,Products!$D$2:$D$9,0)</f>
        <v>600</v>
      </c>
      <c r="M181">
        <f>tblOrders[[#This Row],[Quantity]]*tblOrders[[#This Row],[UnitPrice]]*(1-tblOrders[[#This Row],[Discount]])</f>
        <v>3240</v>
      </c>
      <c r="N181">
        <f>tblOrders[[#This Row],[Quantity]]*tblOrders[[#This Row],[UnitCost]]</f>
        <v>2400</v>
      </c>
      <c r="O181">
        <f>tblOrders[[#This Row],[Revenue]]-tblOrders[[#This Row],[Cost]]</f>
        <v>840</v>
      </c>
      <c r="P181" t="str">
        <f>TEXT(tblOrders[[#This Row],[OrderDate]],"mmm")</f>
        <v>Jun</v>
      </c>
    </row>
    <row r="182" spans="1:16" x14ac:dyDescent="0.25">
      <c r="A182" t="s">
        <v>1068</v>
      </c>
      <c r="B182" s="2">
        <v>45685</v>
      </c>
      <c r="C182" t="s">
        <v>113</v>
      </c>
      <c r="D182" t="s">
        <v>21</v>
      </c>
      <c r="E182" t="s">
        <v>22</v>
      </c>
      <c r="F182" t="s">
        <v>69</v>
      </c>
      <c r="G182">
        <v>7</v>
      </c>
      <c r="H182">
        <v>12000</v>
      </c>
      <c r="I182">
        <v>0.05</v>
      </c>
      <c r="J182" t="str">
        <f>_xlfn.XLOOKUP(tblOrders[[#This Row],[ProductID]],Products!$A$2:$A$9,Products!$B$2:$B$9,"Unknown")</f>
        <v>Monitor</v>
      </c>
      <c r="K182" t="str">
        <f>_xlfn.XLOOKUP(tblOrders[[#This Row],[ProductID]],Products!$A$2:$A$9,Products!$C$2:$C$9,"Unknown")</f>
        <v>Electronics</v>
      </c>
      <c r="L182">
        <f>_xlfn.XLOOKUP(tblOrders[[#This Row],[ProductID]],Products!$A$2:$A$9,Products!$D$2:$D$9,0)</f>
        <v>9000</v>
      </c>
      <c r="M182">
        <f>tblOrders[[#This Row],[Quantity]]*tblOrders[[#This Row],[UnitPrice]]*(1-tblOrders[[#This Row],[Discount]])</f>
        <v>79800</v>
      </c>
      <c r="N182">
        <f>tblOrders[[#This Row],[Quantity]]*tblOrders[[#This Row],[UnitCost]]</f>
        <v>63000</v>
      </c>
      <c r="O182">
        <f>tblOrders[[#This Row],[Revenue]]-tblOrders[[#This Row],[Cost]]</f>
        <v>16800</v>
      </c>
      <c r="P182" t="str">
        <f>TEXT(tblOrders[[#This Row],[OrderDate]],"mmm")</f>
        <v>Jan</v>
      </c>
    </row>
    <row r="183" spans="1:16" x14ac:dyDescent="0.25">
      <c r="A183" t="s">
        <v>498</v>
      </c>
      <c r="B183" s="2">
        <v>45898</v>
      </c>
      <c r="C183" t="s">
        <v>42</v>
      </c>
      <c r="D183" t="s">
        <v>16</v>
      </c>
      <c r="E183" t="s">
        <v>33</v>
      </c>
      <c r="F183" t="s">
        <v>13</v>
      </c>
      <c r="G183">
        <v>15</v>
      </c>
      <c r="H183">
        <v>2000</v>
      </c>
      <c r="I183">
        <v>0.1</v>
      </c>
      <c r="J183" t="str">
        <f>_xlfn.XLOOKUP(tblOrders[[#This Row],[ProductID]],Products!$A$2:$A$9,Products!$B$2:$B$9,"Unknown")</f>
        <v>Headset</v>
      </c>
      <c r="K183" t="str">
        <f>_xlfn.XLOOKUP(tblOrders[[#This Row],[ProductID]],Products!$A$2:$A$9,Products!$C$2:$C$9,"Unknown")</f>
        <v>Accessories</v>
      </c>
      <c r="L183">
        <f>_xlfn.XLOOKUP(tblOrders[[#This Row],[ProductID]],Products!$A$2:$A$9,Products!$D$2:$D$9,0)</f>
        <v>1300</v>
      </c>
      <c r="M183">
        <f>tblOrders[[#This Row],[Quantity]]*tblOrders[[#This Row],[UnitPrice]]*(1-tblOrders[[#This Row],[Discount]])</f>
        <v>27000</v>
      </c>
      <c r="N183">
        <f>tblOrders[[#This Row],[Quantity]]*tblOrders[[#This Row],[UnitCost]]</f>
        <v>19500</v>
      </c>
      <c r="O183">
        <f>tblOrders[[#This Row],[Revenue]]-tblOrders[[#This Row],[Cost]]</f>
        <v>7500</v>
      </c>
      <c r="P183" t="str">
        <f>TEXT(tblOrders[[#This Row],[OrderDate]],"mmm")</f>
        <v>Aug</v>
      </c>
    </row>
    <row r="184" spans="1:16" x14ac:dyDescent="0.25">
      <c r="A184" t="s">
        <v>701</v>
      </c>
      <c r="B184" s="2">
        <v>45802</v>
      </c>
      <c r="C184" t="s">
        <v>160</v>
      </c>
      <c r="D184" t="s">
        <v>39</v>
      </c>
      <c r="E184" t="s">
        <v>76</v>
      </c>
      <c r="F184" t="s">
        <v>43</v>
      </c>
      <c r="G184">
        <v>14</v>
      </c>
      <c r="H184">
        <v>1500</v>
      </c>
      <c r="I184">
        <v>0.15</v>
      </c>
      <c r="J184" t="str">
        <f>_xlfn.XLOOKUP(tblOrders[[#This Row],[ProductID]],Products!$A$2:$A$9,Products!$B$2:$B$9,"Unknown")</f>
        <v>Webcam</v>
      </c>
      <c r="K184" t="str">
        <f>_xlfn.XLOOKUP(tblOrders[[#This Row],[ProductID]],Products!$A$2:$A$9,Products!$C$2:$C$9,"Unknown")</f>
        <v>Accessories</v>
      </c>
      <c r="L184">
        <f>_xlfn.XLOOKUP(tblOrders[[#This Row],[ProductID]],Products!$A$2:$A$9,Products!$D$2:$D$9,0)</f>
        <v>980</v>
      </c>
      <c r="M184">
        <f>tblOrders[[#This Row],[Quantity]]*tblOrders[[#This Row],[UnitPrice]]*(1-tblOrders[[#This Row],[Discount]])</f>
        <v>17850</v>
      </c>
      <c r="N184">
        <f>tblOrders[[#This Row],[Quantity]]*tblOrders[[#This Row],[UnitCost]]</f>
        <v>13720</v>
      </c>
      <c r="O184">
        <f>tblOrders[[#This Row],[Revenue]]-tblOrders[[#This Row],[Cost]]</f>
        <v>4130</v>
      </c>
      <c r="P184" t="str">
        <f>TEXT(tblOrders[[#This Row],[OrderDate]],"mmm")</f>
        <v>May</v>
      </c>
    </row>
    <row r="185" spans="1:16" x14ac:dyDescent="0.25">
      <c r="A185" t="s">
        <v>491</v>
      </c>
      <c r="B185" s="2">
        <v>45718</v>
      </c>
      <c r="C185" t="s">
        <v>107</v>
      </c>
      <c r="D185" t="s">
        <v>21</v>
      </c>
      <c r="E185" t="s">
        <v>28</v>
      </c>
      <c r="F185" t="s">
        <v>64</v>
      </c>
      <c r="G185">
        <v>9</v>
      </c>
      <c r="H185">
        <v>500</v>
      </c>
      <c r="I185">
        <v>0.1</v>
      </c>
      <c r="J185" t="str">
        <f>_xlfn.XLOOKUP(tblOrders[[#This Row],[ProductID]],Products!$A$2:$A$9,Products!$B$2:$B$9,"Unknown")</f>
        <v>Mouse</v>
      </c>
      <c r="K185" t="str">
        <f>_xlfn.XLOOKUP(tblOrders[[#This Row],[ProductID]],Products!$A$2:$A$9,Products!$C$2:$C$9,"Unknown")</f>
        <v>Accessories</v>
      </c>
      <c r="L185">
        <f>_xlfn.XLOOKUP(tblOrders[[#This Row],[ProductID]],Products!$A$2:$A$9,Products!$D$2:$D$9,0)</f>
        <v>320</v>
      </c>
      <c r="M185">
        <f>tblOrders[[#This Row],[Quantity]]*tblOrders[[#This Row],[UnitPrice]]*(1-tblOrders[[#This Row],[Discount]])</f>
        <v>4050</v>
      </c>
      <c r="N185">
        <f>tblOrders[[#This Row],[Quantity]]*tblOrders[[#This Row],[UnitCost]]</f>
        <v>2880</v>
      </c>
      <c r="O185">
        <f>tblOrders[[#This Row],[Revenue]]-tblOrders[[#This Row],[Cost]]</f>
        <v>1170</v>
      </c>
      <c r="P185" t="str">
        <f>TEXT(tblOrders[[#This Row],[OrderDate]],"mmm")</f>
        <v>Mar</v>
      </c>
    </row>
    <row r="186" spans="1:16" x14ac:dyDescent="0.25">
      <c r="A186" t="s">
        <v>972</v>
      </c>
      <c r="B186" s="2">
        <v>45670</v>
      </c>
      <c r="C186" t="s">
        <v>153</v>
      </c>
      <c r="D186" t="s">
        <v>16</v>
      </c>
      <c r="E186" t="s">
        <v>33</v>
      </c>
      <c r="F186" t="s">
        <v>34</v>
      </c>
      <c r="G186">
        <v>5</v>
      </c>
      <c r="H186">
        <v>55000</v>
      </c>
      <c r="I186">
        <v>0.15</v>
      </c>
      <c r="J186" t="str">
        <f>_xlfn.XLOOKUP(tblOrders[[#This Row],[ProductID]],Products!$A$2:$A$9,Products!$B$2:$B$9,"Unknown")</f>
        <v>Laptop</v>
      </c>
      <c r="K186" t="str">
        <f>_xlfn.XLOOKUP(tblOrders[[#This Row],[ProductID]],Products!$A$2:$A$9,Products!$C$2:$C$9,"Unknown")</f>
        <v>Electronics</v>
      </c>
      <c r="L186">
        <f>_xlfn.XLOOKUP(tblOrders[[#This Row],[ProductID]],Products!$A$2:$A$9,Products!$D$2:$D$9,0)</f>
        <v>41000</v>
      </c>
      <c r="M186">
        <f>tblOrders[[#This Row],[Quantity]]*tblOrders[[#This Row],[UnitPrice]]*(1-tblOrders[[#This Row],[Discount]])</f>
        <v>233750</v>
      </c>
      <c r="N186">
        <f>tblOrders[[#This Row],[Quantity]]*tblOrders[[#This Row],[UnitCost]]</f>
        <v>205000</v>
      </c>
      <c r="O186">
        <f>tblOrders[[#This Row],[Revenue]]-tblOrders[[#This Row],[Cost]]</f>
        <v>28750</v>
      </c>
      <c r="P186" t="str">
        <f>TEXT(tblOrders[[#This Row],[OrderDate]],"mmm")</f>
        <v>Jan</v>
      </c>
    </row>
    <row r="187" spans="1:16" x14ac:dyDescent="0.25">
      <c r="A187" t="s">
        <v>814</v>
      </c>
      <c r="B187" s="2">
        <v>45850</v>
      </c>
      <c r="C187" t="s">
        <v>30</v>
      </c>
      <c r="D187" t="s">
        <v>16</v>
      </c>
      <c r="E187" t="s">
        <v>17</v>
      </c>
      <c r="F187" t="s">
        <v>23</v>
      </c>
      <c r="G187">
        <v>15</v>
      </c>
      <c r="H187">
        <v>900</v>
      </c>
      <c r="I187">
        <v>0.1</v>
      </c>
      <c r="J187" t="str">
        <f>_xlfn.XLOOKUP(tblOrders[[#This Row],[ProductID]],Products!$A$2:$A$9,Products!$B$2:$B$9,"Unknown")</f>
        <v>Keyboard</v>
      </c>
      <c r="K187" t="str">
        <f>_xlfn.XLOOKUP(tblOrders[[#This Row],[ProductID]],Products!$A$2:$A$9,Products!$C$2:$C$9,"Unknown")</f>
        <v>Accessories</v>
      </c>
      <c r="L187">
        <f>_xlfn.XLOOKUP(tblOrders[[#This Row],[ProductID]],Products!$A$2:$A$9,Products!$D$2:$D$9,0)</f>
        <v>600</v>
      </c>
      <c r="M187">
        <f>tblOrders[[#This Row],[Quantity]]*tblOrders[[#This Row],[UnitPrice]]*(1-tblOrders[[#This Row],[Discount]])</f>
        <v>12150</v>
      </c>
      <c r="N187">
        <f>tblOrders[[#This Row],[Quantity]]*tblOrders[[#This Row],[UnitCost]]</f>
        <v>9000</v>
      </c>
      <c r="O187">
        <f>tblOrders[[#This Row],[Revenue]]-tblOrders[[#This Row],[Cost]]</f>
        <v>3150</v>
      </c>
      <c r="P187" t="str">
        <f>TEXT(tblOrders[[#This Row],[OrderDate]],"mmm")</f>
        <v>Jul</v>
      </c>
    </row>
    <row r="188" spans="1:16" x14ac:dyDescent="0.25">
      <c r="A188" t="s">
        <v>145</v>
      </c>
      <c r="B188" s="2">
        <v>45783</v>
      </c>
      <c r="C188" t="s">
        <v>123</v>
      </c>
      <c r="D188" t="s">
        <v>21</v>
      </c>
      <c r="E188" t="s">
        <v>28</v>
      </c>
      <c r="F188" t="s">
        <v>43</v>
      </c>
      <c r="G188">
        <v>4</v>
      </c>
      <c r="H188">
        <v>1500</v>
      </c>
      <c r="I188">
        <v>0.1</v>
      </c>
      <c r="J188" t="str">
        <f>_xlfn.XLOOKUP(tblOrders[[#This Row],[ProductID]],Products!$A$2:$A$9,Products!$B$2:$B$9,"Unknown")</f>
        <v>Webcam</v>
      </c>
      <c r="K188" t="str">
        <f>_xlfn.XLOOKUP(tblOrders[[#This Row],[ProductID]],Products!$A$2:$A$9,Products!$C$2:$C$9,"Unknown")</f>
        <v>Accessories</v>
      </c>
      <c r="L188">
        <f>_xlfn.XLOOKUP(tblOrders[[#This Row],[ProductID]],Products!$A$2:$A$9,Products!$D$2:$D$9,0)</f>
        <v>980</v>
      </c>
      <c r="M188">
        <f>tblOrders[[#This Row],[Quantity]]*tblOrders[[#This Row],[UnitPrice]]*(1-tblOrders[[#This Row],[Discount]])</f>
        <v>5400</v>
      </c>
      <c r="N188">
        <f>tblOrders[[#This Row],[Quantity]]*tblOrders[[#This Row],[UnitCost]]</f>
        <v>3920</v>
      </c>
      <c r="O188">
        <f>tblOrders[[#This Row],[Revenue]]-tblOrders[[#This Row],[Cost]]</f>
        <v>1480</v>
      </c>
      <c r="P188" t="str">
        <f>TEXT(tblOrders[[#This Row],[OrderDate]],"mmm")</f>
        <v>May</v>
      </c>
    </row>
    <row r="189" spans="1:16" x14ac:dyDescent="0.25">
      <c r="A189" t="s">
        <v>288</v>
      </c>
      <c r="B189" s="2">
        <v>45684</v>
      </c>
      <c r="C189" t="s">
        <v>105</v>
      </c>
      <c r="D189" t="s">
        <v>39</v>
      </c>
      <c r="E189" t="s">
        <v>76</v>
      </c>
      <c r="F189" t="s">
        <v>18</v>
      </c>
      <c r="G189">
        <v>9</v>
      </c>
      <c r="H189">
        <v>18000</v>
      </c>
      <c r="I189">
        <v>0</v>
      </c>
      <c r="J189" t="str">
        <f>_xlfn.XLOOKUP(tblOrders[[#This Row],[ProductID]],Products!$A$2:$A$9,Products!$B$2:$B$9,"Unknown")</f>
        <v>Tablet</v>
      </c>
      <c r="K189" t="str">
        <f>_xlfn.XLOOKUP(tblOrders[[#This Row],[ProductID]],Products!$A$2:$A$9,Products!$C$2:$C$9,"Unknown")</f>
        <v>Electronics</v>
      </c>
      <c r="L189">
        <f>_xlfn.XLOOKUP(tblOrders[[#This Row],[ProductID]],Products!$A$2:$A$9,Products!$D$2:$D$9,0)</f>
        <v>13500</v>
      </c>
      <c r="M189">
        <f>tblOrders[[#This Row],[Quantity]]*tblOrders[[#This Row],[UnitPrice]]*(1-tblOrders[[#This Row],[Discount]])</f>
        <v>162000</v>
      </c>
      <c r="N189">
        <f>tblOrders[[#This Row],[Quantity]]*tblOrders[[#This Row],[UnitCost]]</f>
        <v>121500</v>
      </c>
      <c r="O189">
        <f>tblOrders[[#This Row],[Revenue]]-tblOrders[[#This Row],[Cost]]</f>
        <v>40500</v>
      </c>
      <c r="P189" t="str">
        <f>TEXT(tblOrders[[#This Row],[OrderDate]],"mmm")</f>
        <v>Jan</v>
      </c>
    </row>
    <row r="190" spans="1:16" x14ac:dyDescent="0.25">
      <c r="A190" t="s">
        <v>455</v>
      </c>
      <c r="B190" s="2">
        <v>45994</v>
      </c>
      <c r="C190" t="s">
        <v>42</v>
      </c>
      <c r="D190" t="s">
        <v>39</v>
      </c>
      <c r="E190" t="s">
        <v>76</v>
      </c>
      <c r="F190" t="s">
        <v>55</v>
      </c>
      <c r="G190">
        <v>15</v>
      </c>
      <c r="H190">
        <v>8000</v>
      </c>
      <c r="I190">
        <v>0</v>
      </c>
      <c r="J190" t="str">
        <f>_xlfn.XLOOKUP(tblOrders[[#This Row],[ProductID]],Products!$A$2:$A$9,Products!$B$2:$B$9,"Unknown")</f>
        <v>Printer</v>
      </c>
      <c r="K190" t="str">
        <f>_xlfn.XLOOKUP(tblOrders[[#This Row],[ProductID]],Products!$A$2:$A$9,Products!$C$2:$C$9,"Unknown")</f>
        <v>Electronics</v>
      </c>
      <c r="L190">
        <f>_xlfn.XLOOKUP(tblOrders[[#This Row],[ProductID]],Products!$A$2:$A$9,Products!$D$2:$D$9,0)</f>
        <v>6200</v>
      </c>
      <c r="M190">
        <f>tblOrders[[#This Row],[Quantity]]*tblOrders[[#This Row],[UnitPrice]]*(1-tblOrders[[#This Row],[Discount]])</f>
        <v>120000</v>
      </c>
      <c r="N190">
        <f>tblOrders[[#This Row],[Quantity]]*tblOrders[[#This Row],[UnitCost]]</f>
        <v>93000</v>
      </c>
      <c r="O190">
        <f>tblOrders[[#This Row],[Revenue]]-tblOrders[[#This Row],[Cost]]</f>
        <v>27000</v>
      </c>
      <c r="P190" t="str">
        <f>TEXT(tblOrders[[#This Row],[OrderDate]],"mmm")</f>
        <v>Dec</v>
      </c>
    </row>
    <row r="191" spans="1:16" x14ac:dyDescent="0.25">
      <c r="A191" t="s">
        <v>495</v>
      </c>
      <c r="B191" s="2">
        <v>45937</v>
      </c>
      <c r="C191" t="s">
        <v>149</v>
      </c>
      <c r="D191" t="s">
        <v>39</v>
      </c>
      <c r="E191" t="s">
        <v>76</v>
      </c>
      <c r="F191" t="s">
        <v>69</v>
      </c>
      <c r="G191">
        <v>4</v>
      </c>
      <c r="H191">
        <v>12000</v>
      </c>
      <c r="I191">
        <v>0.15</v>
      </c>
      <c r="J191" t="str">
        <f>_xlfn.XLOOKUP(tblOrders[[#This Row],[ProductID]],Products!$A$2:$A$9,Products!$B$2:$B$9,"Unknown")</f>
        <v>Monitor</v>
      </c>
      <c r="K191" t="str">
        <f>_xlfn.XLOOKUP(tblOrders[[#This Row],[ProductID]],Products!$A$2:$A$9,Products!$C$2:$C$9,"Unknown")</f>
        <v>Electronics</v>
      </c>
      <c r="L191">
        <f>_xlfn.XLOOKUP(tblOrders[[#This Row],[ProductID]],Products!$A$2:$A$9,Products!$D$2:$D$9,0)</f>
        <v>9000</v>
      </c>
      <c r="M191">
        <f>tblOrders[[#This Row],[Quantity]]*tblOrders[[#This Row],[UnitPrice]]*(1-tblOrders[[#This Row],[Discount]])</f>
        <v>40800</v>
      </c>
      <c r="N191">
        <f>tblOrders[[#This Row],[Quantity]]*tblOrders[[#This Row],[UnitCost]]</f>
        <v>36000</v>
      </c>
      <c r="O191">
        <f>tblOrders[[#This Row],[Revenue]]-tblOrders[[#This Row],[Cost]]</f>
        <v>4800</v>
      </c>
      <c r="P191" t="str">
        <f>TEXT(tblOrders[[#This Row],[OrderDate]],"mmm")</f>
        <v>Oct</v>
      </c>
    </row>
    <row r="192" spans="1:16" x14ac:dyDescent="0.25">
      <c r="A192" t="s">
        <v>688</v>
      </c>
      <c r="B192" s="2">
        <v>45948</v>
      </c>
      <c r="C192" t="s">
        <v>229</v>
      </c>
      <c r="D192" t="s">
        <v>21</v>
      </c>
      <c r="E192" t="s">
        <v>22</v>
      </c>
      <c r="F192" t="s">
        <v>18</v>
      </c>
      <c r="G192">
        <v>2</v>
      </c>
      <c r="H192">
        <v>18000</v>
      </c>
      <c r="I192">
        <v>0.1</v>
      </c>
      <c r="J192" t="str">
        <f>_xlfn.XLOOKUP(tblOrders[[#This Row],[ProductID]],Products!$A$2:$A$9,Products!$B$2:$B$9,"Unknown")</f>
        <v>Tablet</v>
      </c>
      <c r="K192" t="str">
        <f>_xlfn.XLOOKUP(tblOrders[[#This Row],[ProductID]],Products!$A$2:$A$9,Products!$C$2:$C$9,"Unknown")</f>
        <v>Electronics</v>
      </c>
      <c r="L192">
        <f>_xlfn.XLOOKUP(tblOrders[[#This Row],[ProductID]],Products!$A$2:$A$9,Products!$D$2:$D$9,0)</f>
        <v>13500</v>
      </c>
      <c r="M192">
        <f>tblOrders[[#This Row],[Quantity]]*tblOrders[[#This Row],[UnitPrice]]*(1-tblOrders[[#This Row],[Discount]])</f>
        <v>32400</v>
      </c>
      <c r="N192">
        <f>tblOrders[[#This Row],[Quantity]]*tblOrders[[#This Row],[UnitCost]]</f>
        <v>27000</v>
      </c>
      <c r="O192">
        <f>tblOrders[[#This Row],[Revenue]]-tblOrders[[#This Row],[Cost]]</f>
        <v>5400</v>
      </c>
      <c r="P192" t="str">
        <f>TEXT(tblOrders[[#This Row],[OrderDate]],"mmm")</f>
        <v>Oct</v>
      </c>
    </row>
    <row r="193" spans="1:16" x14ac:dyDescent="0.25">
      <c r="A193" t="s">
        <v>588</v>
      </c>
      <c r="B193" s="2">
        <v>45721</v>
      </c>
      <c r="C193" t="s">
        <v>158</v>
      </c>
      <c r="D193" t="s">
        <v>39</v>
      </c>
      <c r="E193" t="s">
        <v>76</v>
      </c>
      <c r="F193" t="s">
        <v>34</v>
      </c>
      <c r="G193">
        <v>5</v>
      </c>
      <c r="H193">
        <v>55000</v>
      </c>
      <c r="I193">
        <v>0</v>
      </c>
      <c r="J193" t="str">
        <f>_xlfn.XLOOKUP(tblOrders[[#This Row],[ProductID]],Products!$A$2:$A$9,Products!$B$2:$B$9,"Unknown")</f>
        <v>Laptop</v>
      </c>
      <c r="K193" t="str">
        <f>_xlfn.XLOOKUP(tblOrders[[#This Row],[ProductID]],Products!$A$2:$A$9,Products!$C$2:$C$9,"Unknown")</f>
        <v>Electronics</v>
      </c>
      <c r="L193">
        <f>_xlfn.XLOOKUP(tblOrders[[#This Row],[ProductID]],Products!$A$2:$A$9,Products!$D$2:$D$9,0)</f>
        <v>41000</v>
      </c>
      <c r="M193">
        <f>tblOrders[[#This Row],[Quantity]]*tblOrders[[#This Row],[UnitPrice]]*(1-tblOrders[[#This Row],[Discount]])</f>
        <v>275000</v>
      </c>
      <c r="N193">
        <f>tblOrders[[#This Row],[Quantity]]*tblOrders[[#This Row],[UnitCost]]</f>
        <v>205000</v>
      </c>
      <c r="O193">
        <f>tblOrders[[#This Row],[Revenue]]-tblOrders[[#This Row],[Cost]]</f>
        <v>70000</v>
      </c>
      <c r="P193" t="str">
        <f>TEXT(tblOrders[[#This Row],[OrderDate]],"mmm")</f>
        <v>Mar</v>
      </c>
    </row>
    <row r="194" spans="1:16" x14ac:dyDescent="0.25">
      <c r="A194" t="s">
        <v>310</v>
      </c>
      <c r="B194" s="2">
        <v>45670</v>
      </c>
      <c r="C194" t="s">
        <v>73</v>
      </c>
      <c r="D194" t="s">
        <v>16</v>
      </c>
      <c r="E194" t="s">
        <v>33</v>
      </c>
      <c r="F194" t="s">
        <v>69</v>
      </c>
      <c r="G194">
        <v>2</v>
      </c>
      <c r="H194">
        <v>12000</v>
      </c>
      <c r="I194">
        <v>0.05</v>
      </c>
      <c r="J194" t="str">
        <f>_xlfn.XLOOKUP(tblOrders[[#This Row],[ProductID]],Products!$A$2:$A$9,Products!$B$2:$B$9,"Unknown")</f>
        <v>Monitor</v>
      </c>
      <c r="K194" t="str">
        <f>_xlfn.XLOOKUP(tblOrders[[#This Row],[ProductID]],Products!$A$2:$A$9,Products!$C$2:$C$9,"Unknown")</f>
        <v>Electronics</v>
      </c>
      <c r="L194">
        <f>_xlfn.XLOOKUP(tblOrders[[#This Row],[ProductID]],Products!$A$2:$A$9,Products!$D$2:$D$9,0)</f>
        <v>9000</v>
      </c>
      <c r="M194">
        <f>tblOrders[[#This Row],[Quantity]]*tblOrders[[#This Row],[UnitPrice]]*(1-tblOrders[[#This Row],[Discount]])</f>
        <v>22800</v>
      </c>
      <c r="N194">
        <f>tblOrders[[#This Row],[Quantity]]*tblOrders[[#This Row],[UnitCost]]</f>
        <v>18000</v>
      </c>
      <c r="O194">
        <f>tblOrders[[#This Row],[Revenue]]-tblOrders[[#This Row],[Cost]]</f>
        <v>4800</v>
      </c>
      <c r="P194" t="str">
        <f>TEXT(tblOrders[[#This Row],[OrderDate]],"mmm")</f>
        <v>Jan</v>
      </c>
    </row>
    <row r="195" spans="1:16" x14ac:dyDescent="0.25">
      <c r="A195" t="s">
        <v>358</v>
      </c>
      <c r="B195" s="2">
        <v>45929</v>
      </c>
      <c r="C195" t="s">
        <v>82</v>
      </c>
      <c r="D195" t="s">
        <v>39</v>
      </c>
      <c r="E195" t="s">
        <v>40</v>
      </c>
      <c r="F195" t="s">
        <v>69</v>
      </c>
      <c r="G195">
        <v>6</v>
      </c>
      <c r="H195">
        <v>12000</v>
      </c>
      <c r="I195">
        <v>0.15</v>
      </c>
      <c r="J195" t="str">
        <f>_xlfn.XLOOKUP(tblOrders[[#This Row],[ProductID]],Products!$A$2:$A$9,Products!$B$2:$B$9,"Unknown")</f>
        <v>Monitor</v>
      </c>
      <c r="K195" t="str">
        <f>_xlfn.XLOOKUP(tblOrders[[#This Row],[ProductID]],Products!$A$2:$A$9,Products!$C$2:$C$9,"Unknown")</f>
        <v>Electronics</v>
      </c>
      <c r="L195">
        <f>_xlfn.XLOOKUP(tblOrders[[#This Row],[ProductID]],Products!$A$2:$A$9,Products!$D$2:$D$9,0)</f>
        <v>9000</v>
      </c>
      <c r="M195">
        <f>tblOrders[[#This Row],[Quantity]]*tblOrders[[#This Row],[UnitPrice]]*(1-tblOrders[[#This Row],[Discount]])</f>
        <v>61200</v>
      </c>
      <c r="N195">
        <f>tblOrders[[#This Row],[Quantity]]*tblOrders[[#This Row],[UnitCost]]</f>
        <v>54000</v>
      </c>
      <c r="O195">
        <f>tblOrders[[#This Row],[Revenue]]-tblOrders[[#This Row],[Cost]]</f>
        <v>7200</v>
      </c>
      <c r="P195" t="str">
        <f>TEXT(tblOrders[[#This Row],[OrderDate]],"mmm")</f>
        <v>Sep</v>
      </c>
    </row>
    <row r="196" spans="1:16" x14ac:dyDescent="0.25">
      <c r="A196" t="s">
        <v>197</v>
      </c>
      <c r="B196" s="2">
        <v>45681</v>
      </c>
      <c r="C196" t="s">
        <v>171</v>
      </c>
      <c r="D196" t="s">
        <v>16</v>
      </c>
      <c r="E196" t="s">
        <v>33</v>
      </c>
      <c r="F196" t="s">
        <v>34</v>
      </c>
      <c r="G196">
        <v>8</v>
      </c>
      <c r="H196">
        <v>55000</v>
      </c>
      <c r="I196">
        <v>0</v>
      </c>
      <c r="J196" t="str">
        <f>_xlfn.XLOOKUP(tblOrders[[#This Row],[ProductID]],Products!$A$2:$A$9,Products!$B$2:$B$9,"Unknown")</f>
        <v>Laptop</v>
      </c>
      <c r="K196" t="str">
        <f>_xlfn.XLOOKUP(tblOrders[[#This Row],[ProductID]],Products!$A$2:$A$9,Products!$C$2:$C$9,"Unknown")</f>
        <v>Electronics</v>
      </c>
      <c r="L196">
        <f>_xlfn.XLOOKUP(tblOrders[[#This Row],[ProductID]],Products!$A$2:$A$9,Products!$D$2:$D$9,0)</f>
        <v>41000</v>
      </c>
      <c r="M196">
        <f>tblOrders[[#This Row],[Quantity]]*tblOrders[[#This Row],[UnitPrice]]*(1-tblOrders[[#This Row],[Discount]])</f>
        <v>440000</v>
      </c>
      <c r="N196">
        <f>tblOrders[[#This Row],[Quantity]]*tblOrders[[#This Row],[UnitCost]]</f>
        <v>328000</v>
      </c>
      <c r="O196">
        <f>tblOrders[[#This Row],[Revenue]]-tblOrders[[#This Row],[Cost]]</f>
        <v>112000</v>
      </c>
      <c r="P196" t="str">
        <f>TEXT(tblOrders[[#This Row],[OrderDate]],"mmm")</f>
        <v>Jan</v>
      </c>
    </row>
    <row r="197" spans="1:16" x14ac:dyDescent="0.25">
      <c r="A197" t="s">
        <v>480</v>
      </c>
      <c r="B197" s="2">
        <v>45913</v>
      </c>
      <c r="C197" t="s">
        <v>121</v>
      </c>
      <c r="D197" t="s">
        <v>11</v>
      </c>
      <c r="E197" t="s">
        <v>46</v>
      </c>
      <c r="F197" t="s">
        <v>43</v>
      </c>
      <c r="G197">
        <v>15</v>
      </c>
      <c r="H197">
        <v>1500</v>
      </c>
      <c r="I197">
        <v>0</v>
      </c>
      <c r="J197" t="str">
        <f>_xlfn.XLOOKUP(tblOrders[[#This Row],[ProductID]],Products!$A$2:$A$9,Products!$B$2:$B$9,"Unknown")</f>
        <v>Webcam</v>
      </c>
      <c r="K197" t="str">
        <f>_xlfn.XLOOKUP(tblOrders[[#This Row],[ProductID]],Products!$A$2:$A$9,Products!$C$2:$C$9,"Unknown")</f>
        <v>Accessories</v>
      </c>
      <c r="L197">
        <f>_xlfn.XLOOKUP(tblOrders[[#This Row],[ProductID]],Products!$A$2:$A$9,Products!$D$2:$D$9,0)</f>
        <v>980</v>
      </c>
      <c r="M197">
        <f>tblOrders[[#This Row],[Quantity]]*tblOrders[[#This Row],[UnitPrice]]*(1-tblOrders[[#This Row],[Discount]])</f>
        <v>22500</v>
      </c>
      <c r="N197">
        <f>tblOrders[[#This Row],[Quantity]]*tblOrders[[#This Row],[UnitCost]]</f>
        <v>14700</v>
      </c>
      <c r="O197">
        <f>tblOrders[[#This Row],[Revenue]]-tblOrders[[#This Row],[Cost]]</f>
        <v>7800</v>
      </c>
      <c r="P197" t="str">
        <f>TEXT(tblOrders[[#This Row],[OrderDate]],"mmm")</f>
        <v>Sep</v>
      </c>
    </row>
    <row r="198" spans="1:16" x14ac:dyDescent="0.25">
      <c r="A198" t="s">
        <v>420</v>
      </c>
      <c r="B198" s="2">
        <v>46012</v>
      </c>
      <c r="C198" t="s">
        <v>73</v>
      </c>
      <c r="D198" t="s">
        <v>21</v>
      </c>
      <c r="E198" t="s">
        <v>28</v>
      </c>
      <c r="F198" t="s">
        <v>55</v>
      </c>
      <c r="G198">
        <v>6</v>
      </c>
      <c r="H198">
        <v>8000</v>
      </c>
      <c r="I198">
        <v>0</v>
      </c>
      <c r="J198" t="str">
        <f>_xlfn.XLOOKUP(tblOrders[[#This Row],[ProductID]],Products!$A$2:$A$9,Products!$B$2:$B$9,"Unknown")</f>
        <v>Printer</v>
      </c>
      <c r="K198" t="str">
        <f>_xlfn.XLOOKUP(tblOrders[[#This Row],[ProductID]],Products!$A$2:$A$9,Products!$C$2:$C$9,"Unknown")</f>
        <v>Electronics</v>
      </c>
      <c r="L198">
        <f>_xlfn.XLOOKUP(tblOrders[[#This Row],[ProductID]],Products!$A$2:$A$9,Products!$D$2:$D$9,0)</f>
        <v>6200</v>
      </c>
      <c r="M198">
        <f>tblOrders[[#This Row],[Quantity]]*tblOrders[[#This Row],[UnitPrice]]*(1-tblOrders[[#This Row],[Discount]])</f>
        <v>48000</v>
      </c>
      <c r="N198">
        <f>tblOrders[[#This Row],[Quantity]]*tblOrders[[#This Row],[UnitCost]]</f>
        <v>37200</v>
      </c>
      <c r="O198">
        <f>tblOrders[[#This Row],[Revenue]]-tblOrders[[#This Row],[Cost]]</f>
        <v>10800</v>
      </c>
      <c r="P198" t="str">
        <f>TEXT(tblOrders[[#This Row],[OrderDate]],"mmm")</f>
        <v>Dec</v>
      </c>
    </row>
    <row r="199" spans="1:16" x14ac:dyDescent="0.25">
      <c r="A199" t="s">
        <v>328</v>
      </c>
      <c r="B199" s="2">
        <v>45666</v>
      </c>
      <c r="C199" t="s">
        <v>66</v>
      </c>
      <c r="D199" t="s">
        <v>11</v>
      </c>
      <c r="E199" t="s">
        <v>12</v>
      </c>
      <c r="F199" t="s">
        <v>55</v>
      </c>
      <c r="G199">
        <v>9</v>
      </c>
      <c r="H199">
        <v>8000</v>
      </c>
      <c r="I199">
        <v>0.15</v>
      </c>
      <c r="J199" t="str">
        <f>_xlfn.XLOOKUP(tblOrders[[#This Row],[ProductID]],Products!$A$2:$A$9,Products!$B$2:$B$9,"Unknown")</f>
        <v>Printer</v>
      </c>
      <c r="K199" t="str">
        <f>_xlfn.XLOOKUP(tblOrders[[#This Row],[ProductID]],Products!$A$2:$A$9,Products!$C$2:$C$9,"Unknown")</f>
        <v>Electronics</v>
      </c>
      <c r="L199">
        <f>_xlfn.XLOOKUP(tblOrders[[#This Row],[ProductID]],Products!$A$2:$A$9,Products!$D$2:$D$9,0)</f>
        <v>6200</v>
      </c>
      <c r="M199">
        <f>tblOrders[[#This Row],[Quantity]]*tblOrders[[#This Row],[UnitPrice]]*(1-tblOrders[[#This Row],[Discount]])</f>
        <v>61200</v>
      </c>
      <c r="N199">
        <f>tblOrders[[#This Row],[Quantity]]*tblOrders[[#This Row],[UnitCost]]</f>
        <v>55800</v>
      </c>
      <c r="O199">
        <f>tblOrders[[#This Row],[Revenue]]-tblOrders[[#This Row],[Cost]]</f>
        <v>5400</v>
      </c>
      <c r="P199" t="str">
        <f>TEXT(tblOrders[[#This Row],[OrderDate]],"mmm")</f>
        <v>Jan</v>
      </c>
    </row>
    <row r="200" spans="1:16" x14ac:dyDescent="0.25">
      <c r="A200" t="s">
        <v>662</v>
      </c>
      <c r="B200" s="2">
        <v>45683</v>
      </c>
      <c r="C200" t="s">
        <v>73</v>
      </c>
      <c r="D200" t="s">
        <v>21</v>
      </c>
      <c r="E200" t="s">
        <v>28</v>
      </c>
      <c r="F200" t="s">
        <v>23</v>
      </c>
      <c r="G200">
        <v>12</v>
      </c>
      <c r="H200">
        <v>900</v>
      </c>
      <c r="I200">
        <v>0</v>
      </c>
      <c r="J200" t="str">
        <f>_xlfn.XLOOKUP(tblOrders[[#This Row],[ProductID]],Products!$A$2:$A$9,Products!$B$2:$B$9,"Unknown")</f>
        <v>Keyboard</v>
      </c>
      <c r="K200" t="str">
        <f>_xlfn.XLOOKUP(tblOrders[[#This Row],[ProductID]],Products!$A$2:$A$9,Products!$C$2:$C$9,"Unknown")</f>
        <v>Accessories</v>
      </c>
      <c r="L200">
        <f>_xlfn.XLOOKUP(tblOrders[[#This Row],[ProductID]],Products!$A$2:$A$9,Products!$D$2:$D$9,0)</f>
        <v>600</v>
      </c>
      <c r="M200">
        <f>tblOrders[[#This Row],[Quantity]]*tblOrders[[#This Row],[UnitPrice]]*(1-tblOrders[[#This Row],[Discount]])</f>
        <v>10800</v>
      </c>
      <c r="N200">
        <f>tblOrders[[#This Row],[Quantity]]*tblOrders[[#This Row],[UnitCost]]</f>
        <v>7200</v>
      </c>
      <c r="O200">
        <f>tblOrders[[#This Row],[Revenue]]-tblOrders[[#This Row],[Cost]]</f>
        <v>3600</v>
      </c>
      <c r="P200" t="str">
        <f>TEXT(tblOrders[[#This Row],[OrderDate]],"mmm")</f>
        <v>Jan</v>
      </c>
    </row>
    <row r="201" spans="1:16" x14ac:dyDescent="0.25">
      <c r="A201" t="s">
        <v>675</v>
      </c>
      <c r="B201" s="2">
        <v>45873</v>
      </c>
      <c r="C201" t="s">
        <v>160</v>
      </c>
      <c r="D201" t="s">
        <v>11</v>
      </c>
      <c r="E201" t="s">
        <v>12</v>
      </c>
      <c r="F201" t="s">
        <v>64</v>
      </c>
      <c r="G201">
        <v>12</v>
      </c>
      <c r="H201">
        <v>500</v>
      </c>
      <c r="I201">
        <v>0.05</v>
      </c>
      <c r="J201" t="str">
        <f>_xlfn.XLOOKUP(tblOrders[[#This Row],[ProductID]],Products!$A$2:$A$9,Products!$B$2:$B$9,"Unknown")</f>
        <v>Mouse</v>
      </c>
      <c r="K201" t="str">
        <f>_xlfn.XLOOKUP(tblOrders[[#This Row],[ProductID]],Products!$A$2:$A$9,Products!$C$2:$C$9,"Unknown")</f>
        <v>Accessories</v>
      </c>
      <c r="L201">
        <f>_xlfn.XLOOKUP(tblOrders[[#This Row],[ProductID]],Products!$A$2:$A$9,Products!$D$2:$D$9,0)</f>
        <v>320</v>
      </c>
      <c r="M201">
        <f>tblOrders[[#This Row],[Quantity]]*tblOrders[[#This Row],[UnitPrice]]*(1-tblOrders[[#This Row],[Discount]])</f>
        <v>5700</v>
      </c>
      <c r="N201">
        <f>tblOrders[[#This Row],[Quantity]]*tblOrders[[#This Row],[UnitCost]]</f>
        <v>3840</v>
      </c>
      <c r="O201">
        <f>tblOrders[[#This Row],[Revenue]]-tblOrders[[#This Row],[Cost]]</f>
        <v>1860</v>
      </c>
      <c r="P201" t="str">
        <f>TEXT(tblOrders[[#This Row],[OrderDate]],"mmm")</f>
        <v>Aug</v>
      </c>
    </row>
    <row r="202" spans="1:16" x14ac:dyDescent="0.25">
      <c r="A202" t="s">
        <v>883</v>
      </c>
      <c r="B202" s="2">
        <v>45744</v>
      </c>
      <c r="C202" t="s">
        <v>115</v>
      </c>
      <c r="D202" t="s">
        <v>11</v>
      </c>
      <c r="E202" t="s">
        <v>12</v>
      </c>
      <c r="F202" t="s">
        <v>23</v>
      </c>
      <c r="G202">
        <v>2</v>
      </c>
      <c r="H202">
        <v>900</v>
      </c>
      <c r="I202">
        <v>0.15</v>
      </c>
      <c r="J202" t="str">
        <f>_xlfn.XLOOKUP(tblOrders[[#This Row],[ProductID]],Products!$A$2:$A$9,Products!$B$2:$B$9,"Unknown")</f>
        <v>Keyboard</v>
      </c>
      <c r="K202" t="str">
        <f>_xlfn.XLOOKUP(tblOrders[[#This Row],[ProductID]],Products!$A$2:$A$9,Products!$C$2:$C$9,"Unknown")</f>
        <v>Accessories</v>
      </c>
      <c r="L202">
        <f>_xlfn.XLOOKUP(tblOrders[[#This Row],[ProductID]],Products!$A$2:$A$9,Products!$D$2:$D$9,0)</f>
        <v>600</v>
      </c>
      <c r="M202">
        <f>tblOrders[[#This Row],[Quantity]]*tblOrders[[#This Row],[UnitPrice]]*(1-tblOrders[[#This Row],[Discount]])</f>
        <v>1530</v>
      </c>
      <c r="N202">
        <f>tblOrders[[#This Row],[Quantity]]*tblOrders[[#This Row],[UnitCost]]</f>
        <v>1200</v>
      </c>
      <c r="O202">
        <f>tblOrders[[#This Row],[Revenue]]-tblOrders[[#This Row],[Cost]]</f>
        <v>330</v>
      </c>
      <c r="P202" t="str">
        <f>TEXT(tblOrders[[#This Row],[OrderDate]],"mmm")</f>
        <v>Mar</v>
      </c>
    </row>
    <row r="203" spans="1:16" x14ac:dyDescent="0.25">
      <c r="A203" t="s">
        <v>921</v>
      </c>
      <c r="B203" s="2">
        <v>45795</v>
      </c>
      <c r="C203" t="s">
        <v>32</v>
      </c>
      <c r="D203" t="s">
        <v>11</v>
      </c>
      <c r="E203" t="s">
        <v>46</v>
      </c>
      <c r="F203" t="s">
        <v>55</v>
      </c>
      <c r="G203">
        <v>9</v>
      </c>
      <c r="H203">
        <v>8000</v>
      </c>
      <c r="I203">
        <v>0.15</v>
      </c>
      <c r="J203" t="str">
        <f>_xlfn.XLOOKUP(tblOrders[[#This Row],[ProductID]],Products!$A$2:$A$9,Products!$B$2:$B$9,"Unknown")</f>
        <v>Printer</v>
      </c>
      <c r="K203" t="str">
        <f>_xlfn.XLOOKUP(tblOrders[[#This Row],[ProductID]],Products!$A$2:$A$9,Products!$C$2:$C$9,"Unknown")</f>
        <v>Electronics</v>
      </c>
      <c r="L203">
        <f>_xlfn.XLOOKUP(tblOrders[[#This Row],[ProductID]],Products!$A$2:$A$9,Products!$D$2:$D$9,0)</f>
        <v>6200</v>
      </c>
      <c r="M203">
        <f>tblOrders[[#This Row],[Quantity]]*tblOrders[[#This Row],[UnitPrice]]*(1-tblOrders[[#This Row],[Discount]])</f>
        <v>61200</v>
      </c>
      <c r="N203">
        <f>tblOrders[[#This Row],[Quantity]]*tblOrders[[#This Row],[UnitCost]]</f>
        <v>55800</v>
      </c>
      <c r="O203">
        <f>tblOrders[[#This Row],[Revenue]]-tblOrders[[#This Row],[Cost]]</f>
        <v>5400</v>
      </c>
      <c r="P203" t="str">
        <f>TEXT(tblOrders[[#This Row],[OrderDate]],"mmm")</f>
        <v>May</v>
      </c>
    </row>
    <row r="204" spans="1:16" x14ac:dyDescent="0.25">
      <c r="A204" t="s">
        <v>206</v>
      </c>
      <c r="B204" s="2">
        <v>45848</v>
      </c>
      <c r="C204" t="s">
        <v>207</v>
      </c>
      <c r="D204" t="s">
        <v>21</v>
      </c>
      <c r="E204" t="s">
        <v>22</v>
      </c>
      <c r="F204" t="s">
        <v>55</v>
      </c>
      <c r="G204">
        <v>5</v>
      </c>
      <c r="H204">
        <v>8000</v>
      </c>
      <c r="I204">
        <v>0</v>
      </c>
      <c r="J204" t="str">
        <f>_xlfn.XLOOKUP(tblOrders[[#This Row],[ProductID]],Products!$A$2:$A$9,Products!$B$2:$B$9,"Unknown")</f>
        <v>Printer</v>
      </c>
      <c r="K204" t="str">
        <f>_xlfn.XLOOKUP(tblOrders[[#This Row],[ProductID]],Products!$A$2:$A$9,Products!$C$2:$C$9,"Unknown")</f>
        <v>Electronics</v>
      </c>
      <c r="L204">
        <f>_xlfn.XLOOKUP(tblOrders[[#This Row],[ProductID]],Products!$A$2:$A$9,Products!$D$2:$D$9,0)</f>
        <v>6200</v>
      </c>
      <c r="M204">
        <f>tblOrders[[#This Row],[Quantity]]*tblOrders[[#This Row],[UnitPrice]]*(1-tblOrders[[#This Row],[Discount]])</f>
        <v>40000</v>
      </c>
      <c r="N204">
        <f>tblOrders[[#This Row],[Quantity]]*tblOrders[[#This Row],[UnitCost]]</f>
        <v>31000</v>
      </c>
      <c r="O204">
        <f>tblOrders[[#This Row],[Revenue]]-tblOrders[[#This Row],[Cost]]</f>
        <v>9000</v>
      </c>
      <c r="P204" t="str">
        <f>TEXT(tblOrders[[#This Row],[OrderDate]],"mmm")</f>
        <v>Jul</v>
      </c>
    </row>
    <row r="205" spans="1:16" x14ac:dyDescent="0.25">
      <c r="A205" t="s">
        <v>638</v>
      </c>
      <c r="B205" s="2">
        <v>45799</v>
      </c>
      <c r="C205" t="s">
        <v>59</v>
      </c>
      <c r="D205" t="s">
        <v>11</v>
      </c>
      <c r="E205" t="s">
        <v>12</v>
      </c>
      <c r="F205" t="s">
        <v>18</v>
      </c>
      <c r="G205">
        <v>8</v>
      </c>
      <c r="H205">
        <v>18000</v>
      </c>
      <c r="I205">
        <v>0</v>
      </c>
      <c r="J205" t="str">
        <f>_xlfn.XLOOKUP(tblOrders[[#This Row],[ProductID]],Products!$A$2:$A$9,Products!$B$2:$B$9,"Unknown")</f>
        <v>Tablet</v>
      </c>
      <c r="K205" t="str">
        <f>_xlfn.XLOOKUP(tblOrders[[#This Row],[ProductID]],Products!$A$2:$A$9,Products!$C$2:$C$9,"Unknown")</f>
        <v>Electronics</v>
      </c>
      <c r="L205">
        <f>_xlfn.XLOOKUP(tblOrders[[#This Row],[ProductID]],Products!$A$2:$A$9,Products!$D$2:$D$9,0)</f>
        <v>13500</v>
      </c>
      <c r="M205">
        <f>tblOrders[[#This Row],[Quantity]]*tblOrders[[#This Row],[UnitPrice]]*(1-tblOrders[[#This Row],[Discount]])</f>
        <v>144000</v>
      </c>
      <c r="N205">
        <f>tblOrders[[#This Row],[Quantity]]*tblOrders[[#This Row],[UnitCost]]</f>
        <v>108000</v>
      </c>
      <c r="O205">
        <f>tblOrders[[#This Row],[Revenue]]-tblOrders[[#This Row],[Cost]]</f>
        <v>36000</v>
      </c>
      <c r="P205" t="str">
        <f>TEXT(tblOrders[[#This Row],[OrderDate]],"mmm")</f>
        <v>May</v>
      </c>
    </row>
    <row r="206" spans="1:16" x14ac:dyDescent="0.25">
      <c r="A206" t="s">
        <v>599</v>
      </c>
      <c r="B206" s="2">
        <v>45929</v>
      </c>
      <c r="C206" t="s">
        <v>32</v>
      </c>
      <c r="D206" t="s">
        <v>21</v>
      </c>
      <c r="E206" t="s">
        <v>28</v>
      </c>
      <c r="F206" t="s">
        <v>34</v>
      </c>
      <c r="G206">
        <v>10</v>
      </c>
      <c r="H206">
        <v>55000</v>
      </c>
      <c r="I206">
        <v>0.1</v>
      </c>
      <c r="J206" t="str">
        <f>_xlfn.XLOOKUP(tblOrders[[#This Row],[ProductID]],Products!$A$2:$A$9,Products!$B$2:$B$9,"Unknown")</f>
        <v>Laptop</v>
      </c>
      <c r="K206" t="str">
        <f>_xlfn.XLOOKUP(tblOrders[[#This Row],[ProductID]],Products!$A$2:$A$9,Products!$C$2:$C$9,"Unknown")</f>
        <v>Electronics</v>
      </c>
      <c r="L206">
        <f>_xlfn.XLOOKUP(tblOrders[[#This Row],[ProductID]],Products!$A$2:$A$9,Products!$D$2:$D$9,0)</f>
        <v>41000</v>
      </c>
      <c r="M206">
        <f>tblOrders[[#This Row],[Quantity]]*tblOrders[[#This Row],[UnitPrice]]*(1-tblOrders[[#This Row],[Discount]])</f>
        <v>495000</v>
      </c>
      <c r="N206">
        <f>tblOrders[[#This Row],[Quantity]]*tblOrders[[#This Row],[UnitCost]]</f>
        <v>410000</v>
      </c>
      <c r="O206">
        <f>tblOrders[[#This Row],[Revenue]]-tblOrders[[#This Row],[Cost]]</f>
        <v>85000</v>
      </c>
      <c r="P206" t="str">
        <f>TEXT(tblOrders[[#This Row],[OrderDate]],"mmm")</f>
        <v>Sep</v>
      </c>
    </row>
    <row r="207" spans="1:16" x14ac:dyDescent="0.25">
      <c r="A207" t="s">
        <v>979</v>
      </c>
      <c r="B207" s="2">
        <v>45874</v>
      </c>
      <c r="C207" t="s">
        <v>66</v>
      </c>
      <c r="D207" t="s">
        <v>21</v>
      </c>
      <c r="E207" t="s">
        <v>22</v>
      </c>
      <c r="F207" t="s">
        <v>69</v>
      </c>
      <c r="G207">
        <v>5</v>
      </c>
      <c r="H207">
        <v>12000</v>
      </c>
      <c r="I207">
        <v>0</v>
      </c>
      <c r="J207" t="str">
        <f>_xlfn.XLOOKUP(tblOrders[[#This Row],[ProductID]],Products!$A$2:$A$9,Products!$B$2:$B$9,"Unknown")</f>
        <v>Monitor</v>
      </c>
      <c r="K207" t="str">
        <f>_xlfn.XLOOKUP(tblOrders[[#This Row],[ProductID]],Products!$A$2:$A$9,Products!$C$2:$C$9,"Unknown")</f>
        <v>Electronics</v>
      </c>
      <c r="L207">
        <f>_xlfn.XLOOKUP(tblOrders[[#This Row],[ProductID]],Products!$A$2:$A$9,Products!$D$2:$D$9,0)</f>
        <v>9000</v>
      </c>
      <c r="M207">
        <f>tblOrders[[#This Row],[Quantity]]*tblOrders[[#This Row],[UnitPrice]]*(1-tblOrders[[#This Row],[Discount]])</f>
        <v>60000</v>
      </c>
      <c r="N207">
        <f>tblOrders[[#This Row],[Quantity]]*tblOrders[[#This Row],[UnitCost]]</f>
        <v>45000</v>
      </c>
      <c r="O207">
        <f>tblOrders[[#This Row],[Revenue]]-tblOrders[[#This Row],[Cost]]</f>
        <v>15000</v>
      </c>
      <c r="P207" t="str">
        <f>TEXT(tblOrders[[#This Row],[OrderDate]],"mmm")</f>
        <v>Aug</v>
      </c>
    </row>
    <row r="208" spans="1:16" x14ac:dyDescent="0.25">
      <c r="A208" t="s">
        <v>1029</v>
      </c>
      <c r="B208" s="2">
        <v>45800</v>
      </c>
      <c r="C208" t="s">
        <v>73</v>
      </c>
      <c r="D208" t="s">
        <v>21</v>
      </c>
      <c r="E208" t="s">
        <v>22</v>
      </c>
      <c r="F208" t="s">
        <v>69</v>
      </c>
      <c r="G208">
        <v>13</v>
      </c>
      <c r="H208">
        <v>12000</v>
      </c>
      <c r="I208">
        <v>0</v>
      </c>
      <c r="J208" t="str">
        <f>_xlfn.XLOOKUP(tblOrders[[#This Row],[ProductID]],Products!$A$2:$A$9,Products!$B$2:$B$9,"Unknown")</f>
        <v>Monitor</v>
      </c>
      <c r="K208" t="str">
        <f>_xlfn.XLOOKUP(tblOrders[[#This Row],[ProductID]],Products!$A$2:$A$9,Products!$C$2:$C$9,"Unknown")</f>
        <v>Electronics</v>
      </c>
      <c r="L208">
        <f>_xlfn.XLOOKUP(tblOrders[[#This Row],[ProductID]],Products!$A$2:$A$9,Products!$D$2:$D$9,0)</f>
        <v>9000</v>
      </c>
      <c r="M208">
        <f>tblOrders[[#This Row],[Quantity]]*tblOrders[[#This Row],[UnitPrice]]*(1-tblOrders[[#This Row],[Discount]])</f>
        <v>156000</v>
      </c>
      <c r="N208">
        <f>tblOrders[[#This Row],[Quantity]]*tblOrders[[#This Row],[UnitCost]]</f>
        <v>117000</v>
      </c>
      <c r="O208">
        <f>tblOrders[[#This Row],[Revenue]]-tblOrders[[#This Row],[Cost]]</f>
        <v>39000</v>
      </c>
      <c r="P208" t="str">
        <f>TEXT(tblOrders[[#This Row],[OrderDate]],"mmm")</f>
        <v>May</v>
      </c>
    </row>
    <row r="209" spans="1:16" x14ac:dyDescent="0.25">
      <c r="A209" t="s">
        <v>294</v>
      </c>
      <c r="B209" s="2">
        <v>45976</v>
      </c>
      <c r="C209" t="s">
        <v>136</v>
      </c>
      <c r="D209" t="s">
        <v>39</v>
      </c>
      <c r="E209" t="s">
        <v>40</v>
      </c>
      <c r="F209" t="s">
        <v>13</v>
      </c>
      <c r="G209">
        <v>1</v>
      </c>
      <c r="H209">
        <v>2000</v>
      </c>
      <c r="I209">
        <v>0.05</v>
      </c>
      <c r="J209" t="str">
        <f>_xlfn.XLOOKUP(tblOrders[[#This Row],[ProductID]],Products!$A$2:$A$9,Products!$B$2:$B$9,"Unknown")</f>
        <v>Headset</v>
      </c>
      <c r="K209" t="str">
        <f>_xlfn.XLOOKUP(tblOrders[[#This Row],[ProductID]],Products!$A$2:$A$9,Products!$C$2:$C$9,"Unknown")</f>
        <v>Accessories</v>
      </c>
      <c r="L209">
        <f>_xlfn.XLOOKUP(tblOrders[[#This Row],[ProductID]],Products!$A$2:$A$9,Products!$D$2:$D$9,0)</f>
        <v>1300</v>
      </c>
      <c r="M209">
        <f>tblOrders[[#This Row],[Quantity]]*tblOrders[[#This Row],[UnitPrice]]*(1-tblOrders[[#This Row],[Discount]])</f>
        <v>1900</v>
      </c>
      <c r="N209">
        <f>tblOrders[[#This Row],[Quantity]]*tblOrders[[#This Row],[UnitCost]]</f>
        <v>1300</v>
      </c>
      <c r="O209">
        <f>tblOrders[[#This Row],[Revenue]]-tblOrders[[#This Row],[Cost]]</f>
        <v>600</v>
      </c>
      <c r="P209" t="str">
        <f>TEXT(tblOrders[[#This Row],[OrderDate]],"mmm")</f>
        <v>Nov</v>
      </c>
    </row>
    <row r="210" spans="1:16" x14ac:dyDescent="0.25">
      <c r="A210" t="s">
        <v>749</v>
      </c>
      <c r="B210" s="2">
        <v>45690</v>
      </c>
      <c r="C210" t="s">
        <v>229</v>
      </c>
      <c r="D210" t="s">
        <v>16</v>
      </c>
      <c r="E210" t="s">
        <v>17</v>
      </c>
      <c r="F210" t="s">
        <v>64</v>
      </c>
      <c r="G210">
        <v>11</v>
      </c>
      <c r="H210">
        <v>500</v>
      </c>
      <c r="I210">
        <v>0.05</v>
      </c>
      <c r="J210" t="str">
        <f>_xlfn.XLOOKUP(tblOrders[[#This Row],[ProductID]],Products!$A$2:$A$9,Products!$B$2:$B$9,"Unknown")</f>
        <v>Mouse</v>
      </c>
      <c r="K210" t="str">
        <f>_xlfn.XLOOKUP(tblOrders[[#This Row],[ProductID]],Products!$A$2:$A$9,Products!$C$2:$C$9,"Unknown")</f>
        <v>Accessories</v>
      </c>
      <c r="L210">
        <f>_xlfn.XLOOKUP(tblOrders[[#This Row],[ProductID]],Products!$A$2:$A$9,Products!$D$2:$D$9,0)</f>
        <v>320</v>
      </c>
      <c r="M210">
        <f>tblOrders[[#This Row],[Quantity]]*tblOrders[[#This Row],[UnitPrice]]*(1-tblOrders[[#This Row],[Discount]])</f>
        <v>5225</v>
      </c>
      <c r="N210">
        <f>tblOrders[[#This Row],[Quantity]]*tblOrders[[#This Row],[UnitCost]]</f>
        <v>3520</v>
      </c>
      <c r="O210">
        <f>tblOrders[[#This Row],[Revenue]]-tblOrders[[#This Row],[Cost]]</f>
        <v>1705</v>
      </c>
      <c r="P210" t="str">
        <f>TEXT(tblOrders[[#This Row],[OrderDate]],"mmm")</f>
        <v>Feb</v>
      </c>
    </row>
    <row r="211" spans="1:16" x14ac:dyDescent="0.25">
      <c r="A211" t="s">
        <v>888</v>
      </c>
      <c r="B211" s="2">
        <v>45922</v>
      </c>
      <c r="C211" t="s">
        <v>261</v>
      </c>
      <c r="D211" t="s">
        <v>16</v>
      </c>
      <c r="E211" t="s">
        <v>33</v>
      </c>
      <c r="F211" t="s">
        <v>69</v>
      </c>
      <c r="G211">
        <v>10</v>
      </c>
      <c r="H211">
        <v>12000</v>
      </c>
      <c r="I211">
        <v>0</v>
      </c>
      <c r="J211" t="str">
        <f>_xlfn.XLOOKUP(tblOrders[[#This Row],[ProductID]],Products!$A$2:$A$9,Products!$B$2:$B$9,"Unknown")</f>
        <v>Monitor</v>
      </c>
      <c r="K211" t="str">
        <f>_xlfn.XLOOKUP(tblOrders[[#This Row],[ProductID]],Products!$A$2:$A$9,Products!$C$2:$C$9,"Unknown")</f>
        <v>Electronics</v>
      </c>
      <c r="L211">
        <f>_xlfn.XLOOKUP(tblOrders[[#This Row],[ProductID]],Products!$A$2:$A$9,Products!$D$2:$D$9,0)</f>
        <v>9000</v>
      </c>
      <c r="M211">
        <f>tblOrders[[#This Row],[Quantity]]*tblOrders[[#This Row],[UnitPrice]]*(1-tblOrders[[#This Row],[Discount]])</f>
        <v>120000</v>
      </c>
      <c r="N211">
        <f>tblOrders[[#This Row],[Quantity]]*tblOrders[[#This Row],[UnitCost]]</f>
        <v>90000</v>
      </c>
      <c r="O211">
        <f>tblOrders[[#This Row],[Revenue]]-tblOrders[[#This Row],[Cost]]</f>
        <v>30000</v>
      </c>
      <c r="P211" t="str">
        <f>TEXT(tblOrders[[#This Row],[OrderDate]],"mmm")</f>
        <v>Sep</v>
      </c>
    </row>
    <row r="212" spans="1:16" x14ac:dyDescent="0.25">
      <c r="A212" t="s">
        <v>228</v>
      </c>
      <c r="B212" s="2">
        <v>45778</v>
      </c>
      <c r="C212" t="s">
        <v>229</v>
      </c>
      <c r="D212" t="s">
        <v>39</v>
      </c>
      <c r="E212" t="s">
        <v>40</v>
      </c>
      <c r="F212" t="s">
        <v>23</v>
      </c>
      <c r="G212">
        <v>13</v>
      </c>
      <c r="H212">
        <v>900</v>
      </c>
      <c r="I212">
        <v>0.15</v>
      </c>
      <c r="J212" t="str">
        <f>_xlfn.XLOOKUP(tblOrders[[#This Row],[ProductID]],Products!$A$2:$A$9,Products!$B$2:$B$9,"Unknown")</f>
        <v>Keyboard</v>
      </c>
      <c r="K212" t="str">
        <f>_xlfn.XLOOKUP(tblOrders[[#This Row],[ProductID]],Products!$A$2:$A$9,Products!$C$2:$C$9,"Unknown")</f>
        <v>Accessories</v>
      </c>
      <c r="L212">
        <f>_xlfn.XLOOKUP(tblOrders[[#This Row],[ProductID]],Products!$A$2:$A$9,Products!$D$2:$D$9,0)</f>
        <v>600</v>
      </c>
      <c r="M212">
        <f>tblOrders[[#This Row],[Quantity]]*tblOrders[[#This Row],[UnitPrice]]*(1-tblOrders[[#This Row],[Discount]])</f>
        <v>9945</v>
      </c>
      <c r="N212">
        <f>tblOrders[[#This Row],[Quantity]]*tblOrders[[#This Row],[UnitCost]]</f>
        <v>7800</v>
      </c>
      <c r="O212">
        <f>tblOrders[[#This Row],[Revenue]]-tblOrders[[#This Row],[Cost]]</f>
        <v>2145</v>
      </c>
      <c r="P212" t="str">
        <f>TEXT(tblOrders[[#This Row],[OrderDate]],"mmm")</f>
        <v>May</v>
      </c>
    </row>
    <row r="213" spans="1:16" x14ac:dyDescent="0.25">
      <c r="A213" t="s">
        <v>693</v>
      </c>
      <c r="B213" s="2">
        <v>45790</v>
      </c>
      <c r="C213" t="s">
        <v>113</v>
      </c>
      <c r="D213" t="s">
        <v>39</v>
      </c>
      <c r="E213" t="s">
        <v>76</v>
      </c>
      <c r="F213" t="s">
        <v>55</v>
      </c>
      <c r="G213">
        <v>14</v>
      </c>
      <c r="H213">
        <v>8000</v>
      </c>
      <c r="I213">
        <v>0.1</v>
      </c>
      <c r="J213" t="str">
        <f>_xlfn.XLOOKUP(tblOrders[[#This Row],[ProductID]],Products!$A$2:$A$9,Products!$B$2:$B$9,"Unknown")</f>
        <v>Printer</v>
      </c>
      <c r="K213" t="str">
        <f>_xlfn.XLOOKUP(tblOrders[[#This Row],[ProductID]],Products!$A$2:$A$9,Products!$C$2:$C$9,"Unknown")</f>
        <v>Electronics</v>
      </c>
      <c r="L213">
        <f>_xlfn.XLOOKUP(tblOrders[[#This Row],[ProductID]],Products!$A$2:$A$9,Products!$D$2:$D$9,0)</f>
        <v>6200</v>
      </c>
      <c r="M213">
        <f>tblOrders[[#This Row],[Quantity]]*tblOrders[[#This Row],[UnitPrice]]*(1-tblOrders[[#This Row],[Discount]])</f>
        <v>100800</v>
      </c>
      <c r="N213">
        <f>tblOrders[[#This Row],[Quantity]]*tblOrders[[#This Row],[UnitCost]]</f>
        <v>86800</v>
      </c>
      <c r="O213">
        <f>tblOrders[[#This Row],[Revenue]]-tblOrders[[#This Row],[Cost]]</f>
        <v>14000</v>
      </c>
      <c r="P213" t="str">
        <f>TEXT(tblOrders[[#This Row],[OrderDate]],"mmm")</f>
        <v>May</v>
      </c>
    </row>
    <row r="214" spans="1:16" x14ac:dyDescent="0.25">
      <c r="A214" t="s">
        <v>952</v>
      </c>
      <c r="B214" s="2">
        <v>45791</v>
      </c>
      <c r="C214" t="s">
        <v>136</v>
      </c>
      <c r="D214" t="s">
        <v>21</v>
      </c>
      <c r="E214" t="s">
        <v>28</v>
      </c>
      <c r="F214" t="s">
        <v>55</v>
      </c>
      <c r="G214">
        <v>10</v>
      </c>
      <c r="H214">
        <v>8000</v>
      </c>
      <c r="I214">
        <v>0.15</v>
      </c>
      <c r="J214" t="str">
        <f>_xlfn.XLOOKUP(tblOrders[[#This Row],[ProductID]],Products!$A$2:$A$9,Products!$B$2:$B$9,"Unknown")</f>
        <v>Printer</v>
      </c>
      <c r="K214" t="str">
        <f>_xlfn.XLOOKUP(tblOrders[[#This Row],[ProductID]],Products!$A$2:$A$9,Products!$C$2:$C$9,"Unknown")</f>
        <v>Electronics</v>
      </c>
      <c r="L214">
        <f>_xlfn.XLOOKUP(tblOrders[[#This Row],[ProductID]],Products!$A$2:$A$9,Products!$D$2:$D$9,0)</f>
        <v>6200</v>
      </c>
      <c r="M214">
        <f>tblOrders[[#This Row],[Quantity]]*tblOrders[[#This Row],[UnitPrice]]*(1-tblOrders[[#This Row],[Discount]])</f>
        <v>68000</v>
      </c>
      <c r="N214">
        <f>tblOrders[[#This Row],[Quantity]]*tblOrders[[#This Row],[UnitCost]]</f>
        <v>62000</v>
      </c>
      <c r="O214">
        <f>tblOrders[[#This Row],[Revenue]]-tblOrders[[#This Row],[Cost]]</f>
        <v>6000</v>
      </c>
      <c r="P214" t="str">
        <f>TEXT(tblOrders[[#This Row],[OrderDate]],"mmm")</f>
        <v>May</v>
      </c>
    </row>
    <row r="215" spans="1:16" x14ac:dyDescent="0.25">
      <c r="A215" t="s">
        <v>826</v>
      </c>
      <c r="B215" s="2">
        <v>45750</v>
      </c>
      <c r="C215" t="s">
        <v>113</v>
      </c>
      <c r="D215" t="s">
        <v>16</v>
      </c>
      <c r="E215" t="s">
        <v>33</v>
      </c>
      <c r="F215" t="s">
        <v>69</v>
      </c>
      <c r="G215">
        <v>10</v>
      </c>
      <c r="H215">
        <v>12000</v>
      </c>
      <c r="I215">
        <v>0</v>
      </c>
      <c r="J215" t="str">
        <f>_xlfn.XLOOKUP(tblOrders[[#This Row],[ProductID]],Products!$A$2:$A$9,Products!$B$2:$B$9,"Unknown")</f>
        <v>Monitor</v>
      </c>
      <c r="K215" t="str">
        <f>_xlfn.XLOOKUP(tblOrders[[#This Row],[ProductID]],Products!$A$2:$A$9,Products!$C$2:$C$9,"Unknown")</f>
        <v>Electronics</v>
      </c>
      <c r="L215">
        <f>_xlfn.XLOOKUP(tblOrders[[#This Row],[ProductID]],Products!$A$2:$A$9,Products!$D$2:$D$9,0)</f>
        <v>9000</v>
      </c>
      <c r="M215">
        <f>tblOrders[[#This Row],[Quantity]]*tblOrders[[#This Row],[UnitPrice]]*(1-tblOrders[[#This Row],[Discount]])</f>
        <v>120000</v>
      </c>
      <c r="N215">
        <f>tblOrders[[#This Row],[Quantity]]*tblOrders[[#This Row],[UnitCost]]</f>
        <v>90000</v>
      </c>
      <c r="O215">
        <f>tblOrders[[#This Row],[Revenue]]-tblOrders[[#This Row],[Cost]]</f>
        <v>30000</v>
      </c>
      <c r="P215" t="str">
        <f>TEXT(tblOrders[[#This Row],[OrderDate]],"mmm")</f>
        <v>Apr</v>
      </c>
    </row>
    <row r="216" spans="1:16" x14ac:dyDescent="0.25">
      <c r="A216" t="s">
        <v>335</v>
      </c>
      <c r="B216" s="2">
        <v>45880</v>
      </c>
      <c r="C216" t="s">
        <v>130</v>
      </c>
      <c r="D216" t="s">
        <v>39</v>
      </c>
      <c r="E216" t="s">
        <v>40</v>
      </c>
      <c r="F216" t="s">
        <v>23</v>
      </c>
      <c r="G216">
        <v>14</v>
      </c>
      <c r="H216">
        <v>900</v>
      </c>
      <c r="I216">
        <v>0</v>
      </c>
      <c r="J216" t="str">
        <f>_xlfn.XLOOKUP(tblOrders[[#This Row],[ProductID]],Products!$A$2:$A$9,Products!$B$2:$B$9,"Unknown")</f>
        <v>Keyboard</v>
      </c>
      <c r="K216" t="str">
        <f>_xlfn.XLOOKUP(tblOrders[[#This Row],[ProductID]],Products!$A$2:$A$9,Products!$C$2:$C$9,"Unknown")</f>
        <v>Accessories</v>
      </c>
      <c r="L216">
        <f>_xlfn.XLOOKUP(tblOrders[[#This Row],[ProductID]],Products!$A$2:$A$9,Products!$D$2:$D$9,0)</f>
        <v>600</v>
      </c>
      <c r="M216">
        <f>tblOrders[[#This Row],[Quantity]]*tblOrders[[#This Row],[UnitPrice]]*(1-tblOrders[[#This Row],[Discount]])</f>
        <v>12600</v>
      </c>
      <c r="N216">
        <f>tblOrders[[#This Row],[Quantity]]*tblOrders[[#This Row],[UnitCost]]</f>
        <v>8400</v>
      </c>
      <c r="O216">
        <f>tblOrders[[#This Row],[Revenue]]-tblOrders[[#This Row],[Cost]]</f>
        <v>4200</v>
      </c>
      <c r="P216" t="str">
        <f>TEXT(tblOrders[[#This Row],[OrderDate]],"mmm")</f>
        <v>Aug</v>
      </c>
    </row>
    <row r="217" spans="1:16" x14ac:dyDescent="0.25">
      <c r="A217" t="s">
        <v>961</v>
      </c>
      <c r="B217" s="2">
        <v>45749</v>
      </c>
      <c r="C217" t="s">
        <v>107</v>
      </c>
      <c r="D217" t="s">
        <v>11</v>
      </c>
      <c r="E217" t="s">
        <v>12</v>
      </c>
      <c r="F217" t="s">
        <v>69</v>
      </c>
      <c r="G217">
        <v>1</v>
      </c>
      <c r="H217">
        <v>12000</v>
      </c>
      <c r="I217">
        <v>0</v>
      </c>
      <c r="J217" t="str">
        <f>_xlfn.XLOOKUP(tblOrders[[#This Row],[ProductID]],Products!$A$2:$A$9,Products!$B$2:$B$9,"Unknown")</f>
        <v>Monitor</v>
      </c>
      <c r="K217" t="str">
        <f>_xlfn.XLOOKUP(tblOrders[[#This Row],[ProductID]],Products!$A$2:$A$9,Products!$C$2:$C$9,"Unknown")</f>
        <v>Electronics</v>
      </c>
      <c r="L217">
        <f>_xlfn.XLOOKUP(tblOrders[[#This Row],[ProductID]],Products!$A$2:$A$9,Products!$D$2:$D$9,0)</f>
        <v>9000</v>
      </c>
      <c r="M217">
        <f>tblOrders[[#This Row],[Quantity]]*tblOrders[[#This Row],[UnitPrice]]*(1-tblOrders[[#This Row],[Discount]])</f>
        <v>12000</v>
      </c>
      <c r="N217">
        <f>tblOrders[[#This Row],[Quantity]]*tblOrders[[#This Row],[UnitCost]]</f>
        <v>9000</v>
      </c>
      <c r="O217">
        <f>tblOrders[[#This Row],[Revenue]]-tblOrders[[#This Row],[Cost]]</f>
        <v>3000</v>
      </c>
      <c r="P217" t="str">
        <f>TEXT(tblOrders[[#This Row],[OrderDate]],"mmm")</f>
        <v>Apr</v>
      </c>
    </row>
    <row r="218" spans="1:16" x14ac:dyDescent="0.25">
      <c r="A218" t="s">
        <v>780</v>
      </c>
      <c r="B218" s="2">
        <v>46014</v>
      </c>
      <c r="C218" t="s">
        <v>50</v>
      </c>
      <c r="D218" t="s">
        <v>16</v>
      </c>
      <c r="E218" t="s">
        <v>17</v>
      </c>
      <c r="F218" t="s">
        <v>23</v>
      </c>
      <c r="G218">
        <v>13</v>
      </c>
      <c r="H218">
        <v>900</v>
      </c>
      <c r="I218">
        <v>0.1</v>
      </c>
      <c r="J218" t="str">
        <f>_xlfn.XLOOKUP(tblOrders[[#This Row],[ProductID]],Products!$A$2:$A$9,Products!$B$2:$B$9,"Unknown")</f>
        <v>Keyboard</v>
      </c>
      <c r="K218" t="str">
        <f>_xlfn.XLOOKUP(tblOrders[[#This Row],[ProductID]],Products!$A$2:$A$9,Products!$C$2:$C$9,"Unknown")</f>
        <v>Accessories</v>
      </c>
      <c r="L218">
        <f>_xlfn.XLOOKUP(tblOrders[[#This Row],[ProductID]],Products!$A$2:$A$9,Products!$D$2:$D$9,0)</f>
        <v>600</v>
      </c>
      <c r="M218">
        <f>tblOrders[[#This Row],[Quantity]]*tblOrders[[#This Row],[UnitPrice]]*(1-tblOrders[[#This Row],[Discount]])</f>
        <v>10530</v>
      </c>
      <c r="N218">
        <f>tblOrders[[#This Row],[Quantity]]*tblOrders[[#This Row],[UnitCost]]</f>
        <v>7800</v>
      </c>
      <c r="O218">
        <f>tblOrders[[#This Row],[Revenue]]-tblOrders[[#This Row],[Cost]]</f>
        <v>2730</v>
      </c>
      <c r="P218" t="str">
        <f>TEXT(tblOrders[[#This Row],[OrderDate]],"mmm")</f>
        <v>Dec</v>
      </c>
    </row>
    <row r="219" spans="1:16" x14ac:dyDescent="0.25">
      <c r="A219" t="s">
        <v>297</v>
      </c>
      <c r="B219" s="2">
        <v>45990</v>
      </c>
      <c r="C219" t="s">
        <v>132</v>
      </c>
      <c r="D219" t="s">
        <v>11</v>
      </c>
      <c r="E219" t="s">
        <v>46</v>
      </c>
      <c r="F219" t="s">
        <v>13</v>
      </c>
      <c r="G219">
        <v>5</v>
      </c>
      <c r="H219">
        <v>2000</v>
      </c>
      <c r="I219">
        <v>0</v>
      </c>
      <c r="J219" t="str">
        <f>_xlfn.XLOOKUP(tblOrders[[#This Row],[ProductID]],Products!$A$2:$A$9,Products!$B$2:$B$9,"Unknown")</f>
        <v>Headset</v>
      </c>
      <c r="K219" t="str">
        <f>_xlfn.XLOOKUP(tblOrders[[#This Row],[ProductID]],Products!$A$2:$A$9,Products!$C$2:$C$9,"Unknown")</f>
        <v>Accessories</v>
      </c>
      <c r="L219">
        <f>_xlfn.XLOOKUP(tblOrders[[#This Row],[ProductID]],Products!$A$2:$A$9,Products!$D$2:$D$9,0)</f>
        <v>1300</v>
      </c>
      <c r="M219">
        <f>tblOrders[[#This Row],[Quantity]]*tblOrders[[#This Row],[UnitPrice]]*(1-tblOrders[[#This Row],[Discount]])</f>
        <v>10000</v>
      </c>
      <c r="N219">
        <f>tblOrders[[#This Row],[Quantity]]*tblOrders[[#This Row],[UnitCost]]</f>
        <v>6500</v>
      </c>
      <c r="O219">
        <f>tblOrders[[#This Row],[Revenue]]-tblOrders[[#This Row],[Cost]]</f>
        <v>3500</v>
      </c>
      <c r="P219" t="str">
        <f>TEXT(tblOrders[[#This Row],[OrderDate]],"mmm")</f>
        <v>Nov</v>
      </c>
    </row>
    <row r="220" spans="1:16" x14ac:dyDescent="0.25">
      <c r="A220" t="s">
        <v>303</v>
      </c>
      <c r="B220" s="2">
        <v>46011</v>
      </c>
      <c r="C220" t="s">
        <v>90</v>
      </c>
      <c r="D220" t="s">
        <v>39</v>
      </c>
      <c r="E220" t="s">
        <v>76</v>
      </c>
      <c r="F220" t="s">
        <v>34</v>
      </c>
      <c r="G220">
        <v>6</v>
      </c>
      <c r="H220">
        <v>55000</v>
      </c>
      <c r="I220">
        <v>0.05</v>
      </c>
      <c r="J220" t="str">
        <f>_xlfn.XLOOKUP(tblOrders[[#This Row],[ProductID]],Products!$A$2:$A$9,Products!$B$2:$B$9,"Unknown")</f>
        <v>Laptop</v>
      </c>
      <c r="K220" t="str">
        <f>_xlfn.XLOOKUP(tblOrders[[#This Row],[ProductID]],Products!$A$2:$A$9,Products!$C$2:$C$9,"Unknown")</f>
        <v>Electronics</v>
      </c>
      <c r="L220">
        <f>_xlfn.XLOOKUP(tblOrders[[#This Row],[ProductID]],Products!$A$2:$A$9,Products!$D$2:$D$9,0)</f>
        <v>41000</v>
      </c>
      <c r="M220">
        <f>tblOrders[[#This Row],[Quantity]]*tblOrders[[#This Row],[UnitPrice]]*(1-tblOrders[[#This Row],[Discount]])</f>
        <v>313500</v>
      </c>
      <c r="N220">
        <f>tblOrders[[#This Row],[Quantity]]*tblOrders[[#This Row],[UnitCost]]</f>
        <v>246000</v>
      </c>
      <c r="O220">
        <f>tblOrders[[#This Row],[Revenue]]-tblOrders[[#This Row],[Cost]]</f>
        <v>67500</v>
      </c>
      <c r="P220" t="str">
        <f>TEXT(tblOrders[[#This Row],[OrderDate]],"mmm")</f>
        <v>Dec</v>
      </c>
    </row>
    <row r="221" spans="1:16" x14ac:dyDescent="0.25">
      <c r="A221" t="s">
        <v>806</v>
      </c>
      <c r="B221" s="2">
        <v>46015</v>
      </c>
      <c r="C221" t="s">
        <v>68</v>
      </c>
      <c r="D221" t="s">
        <v>11</v>
      </c>
      <c r="E221" t="s">
        <v>12</v>
      </c>
      <c r="F221" t="s">
        <v>34</v>
      </c>
      <c r="G221">
        <v>3</v>
      </c>
      <c r="H221">
        <v>55000</v>
      </c>
      <c r="I221">
        <v>0.05</v>
      </c>
      <c r="J221" t="str">
        <f>_xlfn.XLOOKUP(tblOrders[[#This Row],[ProductID]],Products!$A$2:$A$9,Products!$B$2:$B$9,"Unknown")</f>
        <v>Laptop</v>
      </c>
      <c r="K221" t="str">
        <f>_xlfn.XLOOKUP(tblOrders[[#This Row],[ProductID]],Products!$A$2:$A$9,Products!$C$2:$C$9,"Unknown")</f>
        <v>Electronics</v>
      </c>
      <c r="L221">
        <f>_xlfn.XLOOKUP(tblOrders[[#This Row],[ProductID]],Products!$A$2:$A$9,Products!$D$2:$D$9,0)</f>
        <v>41000</v>
      </c>
      <c r="M221">
        <f>tblOrders[[#This Row],[Quantity]]*tblOrders[[#This Row],[UnitPrice]]*(1-tblOrders[[#This Row],[Discount]])</f>
        <v>156750</v>
      </c>
      <c r="N221">
        <f>tblOrders[[#This Row],[Quantity]]*tblOrders[[#This Row],[UnitCost]]</f>
        <v>123000</v>
      </c>
      <c r="O221">
        <f>tblOrders[[#This Row],[Revenue]]-tblOrders[[#This Row],[Cost]]</f>
        <v>33750</v>
      </c>
      <c r="P221" t="str">
        <f>TEXT(tblOrders[[#This Row],[OrderDate]],"mmm")</f>
        <v>Dec</v>
      </c>
    </row>
    <row r="222" spans="1:16" x14ac:dyDescent="0.25">
      <c r="A222" t="s">
        <v>639</v>
      </c>
      <c r="B222" s="2">
        <v>45732</v>
      </c>
      <c r="C222" t="s">
        <v>160</v>
      </c>
      <c r="D222" t="s">
        <v>39</v>
      </c>
      <c r="E222" t="s">
        <v>40</v>
      </c>
      <c r="F222" t="s">
        <v>34</v>
      </c>
      <c r="G222">
        <v>1</v>
      </c>
      <c r="H222">
        <v>55000</v>
      </c>
      <c r="I222">
        <v>0</v>
      </c>
      <c r="J222" t="str">
        <f>_xlfn.XLOOKUP(tblOrders[[#This Row],[ProductID]],Products!$A$2:$A$9,Products!$B$2:$B$9,"Unknown")</f>
        <v>Laptop</v>
      </c>
      <c r="K222" t="str">
        <f>_xlfn.XLOOKUP(tblOrders[[#This Row],[ProductID]],Products!$A$2:$A$9,Products!$C$2:$C$9,"Unknown")</f>
        <v>Electronics</v>
      </c>
      <c r="L222">
        <f>_xlfn.XLOOKUP(tblOrders[[#This Row],[ProductID]],Products!$A$2:$A$9,Products!$D$2:$D$9,0)</f>
        <v>41000</v>
      </c>
      <c r="M222">
        <f>tblOrders[[#This Row],[Quantity]]*tblOrders[[#This Row],[UnitPrice]]*(1-tblOrders[[#This Row],[Discount]])</f>
        <v>55000</v>
      </c>
      <c r="N222">
        <f>tblOrders[[#This Row],[Quantity]]*tblOrders[[#This Row],[UnitCost]]</f>
        <v>41000</v>
      </c>
      <c r="O222">
        <f>tblOrders[[#This Row],[Revenue]]-tblOrders[[#This Row],[Cost]]</f>
        <v>14000</v>
      </c>
      <c r="P222" t="str">
        <f>TEXT(tblOrders[[#This Row],[OrderDate]],"mmm")</f>
        <v>Mar</v>
      </c>
    </row>
    <row r="223" spans="1:16" x14ac:dyDescent="0.25">
      <c r="A223" t="s">
        <v>728</v>
      </c>
      <c r="B223" s="2">
        <v>45704</v>
      </c>
      <c r="C223" t="s">
        <v>80</v>
      </c>
      <c r="D223" t="s">
        <v>39</v>
      </c>
      <c r="E223" t="s">
        <v>40</v>
      </c>
      <c r="F223" t="s">
        <v>23</v>
      </c>
      <c r="G223">
        <v>8</v>
      </c>
      <c r="H223">
        <v>900</v>
      </c>
      <c r="I223">
        <v>0.05</v>
      </c>
      <c r="J223" t="str">
        <f>_xlfn.XLOOKUP(tblOrders[[#This Row],[ProductID]],Products!$A$2:$A$9,Products!$B$2:$B$9,"Unknown")</f>
        <v>Keyboard</v>
      </c>
      <c r="K223" t="str">
        <f>_xlfn.XLOOKUP(tblOrders[[#This Row],[ProductID]],Products!$A$2:$A$9,Products!$C$2:$C$9,"Unknown")</f>
        <v>Accessories</v>
      </c>
      <c r="L223">
        <f>_xlfn.XLOOKUP(tblOrders[[#This Row],[ProductID]],Products!$A$2:$A$9,Products!$D$2:$D$9,0)</f>
        <v>600</v>
      </c>
      <c r="M223">
        <f>tblOrders[[#This Row],[Quantity]]*tblOrders[[#This Row],[UnitPrice]]*(1-tblOrders[[#This Row],[Discount]])</f>
        <v>6840</v>
      </c>
      <c r="N223">
        <f>tblOrders[[#This Row],[Quantity]]*tblOrders[[#This Row],[UnitCost]]</f>
        <v>4800</v>
      </c>
      <c r="O223">
        <f>tblOrders[[#This Row],[Revenue]]-tblOrders[[#This Row],[Cost]]</f>
        <v>2040</v>
      </c>
      <c r="P223" t="str">
        <f>TEXT(tblOrders[[#This Row],[OrderDate]],"mmm")</f>
        <v>Feb</v>
      </c>
    </row>
    <row r="224" spans="1:16" x14ac:dyDescent="0.25">
      <c r="A224" t="s">
        <v>988</v>
      </c>
      <c r="B224" s="2">
        <v>45675</v>
      </c>
      <c r="C224" t="s">
        <v>36</v>
      </c>
      <c r="D224" t="s">
        <v>11</v>
      </c>
      <c r="E224" t="s">
        <v>12</v>
      </c>
      <c r="F224" t="s">
        <v>23</v>
      </c>
      <c r="G224">
        <v>5</v>
      </c>
      <c r="H224">
        <v>900</v>
      </c>
      <c r="I224">
        <v>0</v>
      </c>
      <c r="J224" t="str">
        <f>_xlfn.XLOOKUP(tblOrders[[#This Row],[ProductID]],Products!$A$2:$A$9,Products!$B$2:$B$9,"Unknown")</f>
        <v>Keyboard</v>
      </c>
      <c r="K224" t="str">
        <f>_xlfn.XLOOKUP(tblOrders[[#This Row],[ProductID]],Products!$A$2:$A$9,Products!$C$2:$C$9,"Unknown")</f>
        <v>Accessories</v>
      </c>
      <c r="L224">
        <f>_xlfn.XLOOKUP(tblOrders[[#This Row],[ProductID]],Products!$A$2:$A$9,Products!$D$2:$D$9,0)</f>
        <v>600</v>
      </c>
      <c r="M224">
        <f>tblOrders[[#This Row],[Quantity]]*tblOrders[[#This Row],[UnitPrice]]*(1-tblOrders[[#This Row],[Discount]])</f>
        <v>4500</v>
      </c>
      <c r="N224">
        <f>tblOrders[[#This Row],[Quantity]]*tblOrders[[#This Row],[UnitCost]]</f>
        <v>3000</v>
      </c>
      <c r="O224">
        <f>tblOrders[[#This Row],[Revenue]]-tblOrders[[#This Row],[Cost]]</f>
        <v>1500</v>
      </c>
      <c r="P224" t="str">
        <f>TEXT(tblOrders[[#This Row],[OrderDate]],"mmm")</f>
        <v>Jan</v>
      </c>
    </row>
    <row r="225" spans="1:16" x14ac:dyDescent="0.25">
      <c r="A225" t="s">
        <v>308</v>
      </c>
      <c r="B225" s="2">
        <v>45872</v>
      </c>
      <c r="C225" t="s">
        <v>162</v>
      </c>
      <c r="D225" t="s">
        <v>39</v>
      </c>
      <c r="E225" t="s">
        <v>76</v>
      </c>
      <c r="F225" t="s">
        <v>18</v>
      </c>
      <c r="G225">
        <v>15</v>
      </c>
      <c r="H225">
        <v>18000</v>
      </c>
      <c r="I225">
        <v>0</v>
      </c>
      <c r="J225" t="str">
        <f>_xlfn.XLOOKUP(tblOrders[[#This Row],[ProductID]],Products!$A$2:$A$9,Products!$B$2:$B$9,"Unknown")</f>
        <v>Tablet</v>
      </c>
      <c r="K225" t="str">
        <f>_xlfn.XLOOKUP(tblOrders[[#This Row],[ProductID]],Products!$A$2:$A$9,Products!$C$2:$C$9,"Unknown")</f>
        <v>Electronics</v>
      </c>
      <c r="L225">
        <f>_xlfn.XLOOKUP(tblOrders[[#This Row],[ProductID]],Products!$A$2:$A$9,Products!$D$2:$D$9,0)</f>
        <v>13500</v>
      </c>
      <c r="M225">
        <f>tblOrders[[#This Row],[Quantity]]*tblOrders[[#This Row],[UnitPrice]]*(1-tblOrders[[#This Row],[Discount]])</f>
        <v>270000</v>
      </c>
      <c r="N225">
        <f>tblOrders[[#This Row],[Quantity]]*tblOrders[[#This Row],[UnitCost]]</f>
        <v>202500</v>
      </c>
      <c r="O225">
        <f>tblOrders[[#This Row],[Revenue]]-tblOrders[[#This Row],[Cost]]</f>
        <v>67500</v>
      </c>
      <c r="P225" t="str">
        <f>TEXT(tblOrders[[#This Row],[OrderDate]],"mmm")</f>
        <v>Aug</v>
      </c>
    </row>
    <row r="226" spans="1:16" x14ac:dyDescent="0.25">
      <c r="A226" t="s">
        <v>522</v>
      </c>
      <c r="B226" s="2">
        <v>45830</v>
      </c>
      <c r="C226" t="s">
        <v>82</v>
      </c>
      <c r="D226" t="s">
        <v>11</v>
      </c>
      <c r="E226" t="s">
        <v>12</v>
      </c>
      <c r="F226" t="s">
        <v>34</v>
      </c>
      <c r="G226">
        <v>3</v>
      </c>
      <c r="H226">
        <v>55000</v>
      </c>
      <c r="I226">
        <v>0.05</v>
      </c>
      <c r="J226" t="str">
        <f>_xlfn.XLOOKUP(tblOrders[[#This Row],[ProductID]],Products!$A$2:$A$9,Products!$B$2:$B$9,"Unknown")</f>
        <v>Laptop</v>
      </c>
      <c r="K226" t="str">
        <f>_xlfn.XLOOKUP(tblOrders[[#This Row],[ProductID]],Products!$A$2:$A$9,Products!$C$2:$C$9,"Unknown")</f>
        <v>Electronics</v>
      </c>
      <c r="L226">
        <f>_xlfn.XLOOKUP(tblOrders[[#This Row],[ProductID]],Products!$A$2:$A$9,Products!$D$2:$D$9,0)</f>
        <v>41000</v>
      </c>
      <c r="M226">
        <f>tblOrders[[#This Row],[Quantity]]*tblOrders[[#This Row],[UnitPrice]]*(1-tblOrders[[#This Row],[Discount]])</f>
        <v>156750</v>
      </c>
      <c r="N226">
        <f>tblOrders[[#This Row],[Quantity]]*tblOrders[[#This Row],[UnitCost]]</f>
        <v>123000</v>
      </c>
      <c r="O226">
        <f>tblOrders[[#This Row],[Revenue]]-tblOrders[[#This Row],[Cost]]</f>
        <v>33750</v>
      </c>
      <c r="P226" t="str">
        <f>TEXT(tblOrders[[#This Row],[OrderDate]],"mmm")</f>
        <v>Jun</v>
      </c>
    </row>
    <row r="227" spans="1:16" x14ac:dyDescent="0.25">
      <c r="A227" t="s">
        <v>146</v>
      </c>
      <c r="B227" s="2">
        <v>45833</v>
      </c>
      <c r="C227" t="s">
        <v>80</v>
      </c>
      <c r="D227" t="s">
        <v>11</v>
      </c>
      <c r="E227" t="s">
        <v>12</v>
      </c>
      <c r="F227" t="s">
        <v>43</v>
      </c>
      <c r="G227">
        <v>14</v>
      </c>
      <c r="H227">
        <v>1500</v>
      </c>
      <c r="I227">
        <v>0.05</v>
      </c>
      <c r="J227" t="str">
        <f>_xlfn.XLOOKUP(tblOrders[[#This Row],[ProductID]],Products!$A$2:$A$9,Products!$B$2:$B$9,"Unknown")</f>
        <v>Webcam</v>
      </c>
      <c r="K227" t="str">
        <f>_xlfn.XLOOKUP(tblOrders[[#This Row],[ProductID]],Products!$A$2:$A$9,Products!$C$2:$C$9,"Unknown")</f>
        <v>Accessories</v>
      </c>
      <c r="L227">
        <f>_xlfn.XLOOKUP(tblOrders[[#This Row],[ProductID]],Products!$A$2:$A$9,Products!$D$2:$D$9,0)</f>
        <v>980</v>
      </c>
      <c r="M227">
        <f>tblOrders[[#This Row],[Quantity]]*tblOrders[[#This Row],[UnitPrice]]*(1-tblOrders[[#This Row],[Discount]])</f>
        <v>19950</v>
      </c>
      <c r="N227">
        <f>tblOrders[[#This Row],[Quantity]]*tblOrders[[#This Row],[UnitCost]]</f>
        <v>13720</v>
      </c>
      <c r="O227">
        <f>tblOrders[[#This Row],[Revenue]]-tblOrders[[#This Row],[Cost]]</f>
        <v>6230</v>
      </c>
      <c r="P227" t="str">
        <f>TEXT(tblOrders[[#This Row],[OrderDate]],"mmm")</f>
        <v>Jun</v>
      </c>
    </row>
    <row r="228" spans="1:16" x14ac:dyDescent="0.25">
      <c r="A228" t="s">
        <v>1075</v>
      </c>
      <c r="B228" s="2">
        <v>45853</v>
      </c>
      <c r="C228" t="s">
        <v>117</v>
      </c>
      <c r="D228" t="s">
        <v>39</v>
      </c>
      <c r="E228" t="s">
        <v>40</v>
      </c>
      <c r="F228" t="s">
        <v>34</v>
      </c>
      <c r="G228">
        <v>4</v>
      </c>
      <c r="H228">
        <v>55000</v>
      </c>
      <c r="I228">
        <v>0.05</v>
      </c>
      <c r="J228" t="str">
        <f>_xlfn.XLOOKUP(tblOrders[[#This Row],[ProductID]],Products!$A$2:$A$9,Products!$B$2:$B$9,"Unknown")</f>
        <v>Laptop</v>
      </c>
      <c r="K228" t="str">
        <f>_xlfn.XLOOKUP(tblOrders[[#This Row],[ProductID]],Products!$A$2:$A$9,Products!$C$2:$C$9,"Unknown")</f>
        <v>Electronics</v>
      </c>
      <c r="L228">
        <f>_xlfn.XLOOKUP(tblOrders[[#This Row],[ProductID]],Products!$A$2:$A$9,Products!$D$2:$D$9,0)</f>
        <v>41000</v>
      </c>
      <c r="M228">
        <f>tblOrders[[#This Row],[Quantity]]*tblOrders[[#This Row],[UnitPrice]]*(1-tblOrders[[#This Row],[Discount]])</f>
        <v>209000</v>
      </c>
      <c r="N228">
        <f>tblOrders[[#This Row],[Quantity]]*tblOrders[[#This Row],[UnitCost]]</f>
        <v>164000</v>
      </c>
      <c r="O228">
        <f>tblOrders[[#This Row],[Revenue]]-tblOrders[[#This Row],[Cost]]</f>
        <v>45000</v>
      </c>
      <c r="P228" t="str">
        <f>TEXT(tblOrders[[#This Row],[OrderDate]],"mmm")</f>
        <v>Jul</v>
      </c>
    </row>
    <row r="229" spans="1:16" x14ac:dyDescent="0.25">
      <c r="A229" t="s">
        <v>382</v>
      </c>
      <c r="B229" s="2">
        <v>45752</v>
      </c>
      <c r="C229" t="s">
        <v>97</v>
      </c>
      <c r="D229" t="s">
        <v>11</v>
      </c>
      <c r="E229" t="s">
        <v>46</v>
      </c>
      <c r="F229" t="s">
        <v>43</v>
      </c>
      <c r="G229">
        <v>4</v>
      </c>
      <c r="H229">
        <v>1500</v>
      </c>
      <c r="I229">
        <v>0.05</v>
      </c>
      <c r="J229" t="str">
        <f>_xlfn.XLOOKUP(tblOrders[[#This Row],[ProductID]],Products!$A$2:$A$9,Products!$B$2:$B$9,"Unknown")</f>
        <v>Webcam</v>
      </c>
      <c r="K229" t="str">
        <f>_xlfn.XLOOKUP(tblOrders[[#This Row],[ProductID]],Products!$A$2:$A$9,Products!$C$2:$C$9,"Unknown")</f>
        <v>Accessories</v>
      </c>
      <c r="L229">
        <f>_xlfn.XLOOKUP(tblOrders[[#This Row],[ProductID]],Products!$A$2:$A$9,Products!$D$2:$D$9,0)</f>
        <v>980</v>
      </c>
      <c r="M229">
        <f>tblOrders[[#This Row],[Quantity]]*tblOrders[[#This Row],[UnitPrice]]*(1-tblOrders[[#This Row],[Discount]])</f>
        <v>5700</v>
      </c>
      <c r="N229">
        <f>tblOrders[[#This Row],[Quantity]]*tblOrders[[#This Row],[UnitCost]]</f>
        <v>3920</v>
      </c>
      <c r="O229">
        <f>tblOrders[[#This Row],[Revenue]]-tblOrders[[#This Row],[Cost]]</f>
        <v>1780</v>
      </c>
      <c r="P229" t="str">
        <f>TEXT(tblOrders[[#This Row],[OrderDate]],"mmm")</f>
        <v>Apr</v>
      </c>
    </row>
    <row r="230" spans="1:16" x14ac:dyDescent="0.25">
      <c r="A230" t="s">
        <v>721</v>
      </c>
      <c r="B230" s="2">
        <v>45815</v>
      </c>
      <c r="C230" t="s">
        <v>85</v>
      </c>
      <c r="D230" t="s">
        <v>39</v>
      </c>
      <c r="E230" t="s">
        <v>40</v>
      </c>
      <c r="F230" t="s">
        <v>43</v>
      </c>
      <c r="G230">
        <v>8</v>
      </c>
      <c r="H230">
        <v>1500</v>
      </c>
      <c r="I230">
        <v>0.15</v>
      </c>
      <c r="J230" t="str">
        <f>_xlfn.XLOOKUP(tblOrders[[#This Row],[ProductID]],Products!$A$2:$A$9,Products!$B$2:$B$9,"Unknown")</f>
        <v>Webcam</v>
      </c>
      <c r="K230" t="str">
        <f>_xlfn.XLOOKUP(tblOrders[[#This Row],[ProductID]],Products!$A$2:$A$9,Products!$C$2:$C$9,"Unknown")</f>
        <v>Accessories</v>
      </c>
      <c r="L230">
        <f>_xlfn.XLOOKUP(tblOrders[[#This Row],[ProductID]],Products!$A$2:$A$9,Products!$D$2:$D$9,0)</f>
        <v>980</v>
      </c>
      <c r="M230">
        <f>tblOrders[[#This Row],[Quantity]]*tblOrders[[#This Row],[UnitPrice]]*(1-tblOrders[[#This Row],[Discount]])</f>
        <v>10200</v>
      </c>
      <c r="N230">
        <f>tblOrders[[#This Row],[Quantity]]*tblOrders[[#This Row],[UnitCost]]</f>
        <v>7840</v>
      </c>
      <c r="O230">
        <f>tblOrders[[#This Row],[Revenue]]-tblOrders[[#This Row],[Cost]]</f>
        <v>2360</v>
      </c>
      <c r="P230" t="str">
        <f>TEXT(tblOrders[[#This Row],[OrderDate]],"mmm")</f>
        <v>Jun</v>
      </c>
    </row>
    <row r="231" spans="1:16" x14ac:dyDescent="0.25">
      <c r="A231" t="s">
        <v>249</v>
      </c>
      <c r="B231" s="2">
        <v>45907</v>
      </c>
      <c r="C231" t="s">
        <v>136</v>
      </c>
      <c r="D231" t="s">
        <v>11</v>
      </c>
      <c r="E231" t="s">
        <v>46</v>
      </c>
      <c r="F231" t="s">
        <v>13</v>
      </c>
      <c r="G231">
        <v>7</v>
      </c>
      <c r="H231">
        <v>2000</v>
      </c>
      <c r="I231">
        <v>0</v>
      </c>
      <c r="J231" t="str">
        <f>_xlfn.XLOOKUP(tblOrders[[#This Row],[ProductID]],Products!$A$2:$A$9,Products!$B$2:$B$9,"Unknown")</f>
        <v>Headset</v>
      </c>
      <c r="K231" t="str">
        <f>_xlfn.XLOOKUP(tblOrders[[#This Row],[ProductID]],Products!$A$2:$A$9,Products!$C$2:$C$9,"Unknown")</f>
        <v>Accessories</v>
      </c>
      <c r="L231">
        <f>_xlfn.XLOOKUP(tblOrders[[#This Row],[ProductID]],Products!$A$2:$A$9,Products!$D$2:$D$9,0)</f>
        <v>1300</v>
      </c>
      <c r="M231">
        <f>tblOrders[[#This Row],[Quantity]]*tblOrders[[#This Row],[UnitPrice]]*(1-tblOrders[[#This Row],[Discount]])</f>
        <v>14000</v>
      </c>
      <c r="N231">
        <f>tblOrders[[#This Row],[Quantity]]*tblOrders[[#This Row],[UnitCost]]</f>
        <v>9100</v>
      </c>
      <c r="O231">
        <f>tblOrders[[#This Row],[Revenue]]-tblOrders[[#This Row],[Cost]]</f>
        <v>4900</v>
      </c>
      <c r="P231" t="str">
        <f>TEXT(tblOrders[[#This Row],[OrderDate]],"mmm")</f>
        <v>Sep</v>
      </c>
    </row>
    <row r="232" spans="1:16" x14ac:dyDescent="0.25">
      <c r="A232" t="s">
        <v>250</v>
      </c>
      <c r="B232" s="2">
        <v>45843</v>
      </c>
      <c r="C232" t="s">
        <v>149</v>
      </c>
      <c r="D232" t="s">
        <v>16</v>
      </c>
      <c r="E232" t="s">
        <v>33</v>
      </c>
      <c r="F232" t="s">
        <v>34</v>
      </c>
      <c r="G232">
        <v>9</v>
      </c>
      <c r="H232">
        <v>55000</v>
      </c>
      <c r="I232">
        <v>0</v>
      </c>
      <c r="J232" t="str">
        <f>_xlfn.XLOOKUP(tblOrders[[#This Row],[ProductID]],Products!$A$2:$A$9,Products!$B$2:$B$9,"Unknown")</f>
        <v>Laptop</v>
      </c>
      <c r="K232" t="str">
        <f>_xlfn.XLOOKUP(tblOrders[[#This Row],[ProductID]],Products!$A$2:$A$9,Products!$C$2:$C$9,"Unknown")</f>
        <v>Electronics</v>
      </c>
      <c r="L232">
        <f>_xlfn.XLOOKUP(tblOrders[[#This Row],[ProductID]],Products!$A$2:$A$9,Products!$D$2:$D$9,0)</f>
        <v>41000</v>
      </c>
      <c r="M232">
        <f>tblOrders[[#This Row],[Quantity]]*tblOrders[[#This Row],[UnitPrice]]*(1-tblOrders[[#This Row],[Discount]])</f>
        <v>495000</v>
      </c>
      <c r="N232">
        <f>tblOrders[[#This Row],[Quantity]]*tblOrders[[#This Row],[UnitCost]]</f>
        <v>369000</v>
      </c>
      <c r="O232">
        <f>tblOrders[[#This Row],[Revenue]]-tblOrders[[#This Row],[Cost]]</f>
        <v>126000</v>
      </c>
      <c r="P232" t="str">
        <f>TEXT(tblOrders[[#This Row],[OrderDate]],"mmm")</f>
        <v>Jul</v>
      </c>
    </row>
    <row r="233" spans="1:16" x14ac:dyDescent="0.25">
      <c r="A233" t="s">
        <v>840</v>
      </c>
      <c r="B233" s="2">
        <v>45920</v>
      </c>
      <c r="C233" t="s">
        <v>162</v>
      </c>
      <c r="D233" t="s">
        <v>39</v>
      </c>
      <c r="E233" t="s">
        <v>40</v>
      </c>
      <c r="F233" t="s">
        <v>55</v>
      </c>
      <c r="G233">
        <v>5</v>
      </c>
      <c r="H233">
        <v>8000</v>
      </c>
      <c r="I233">
        <v>0</v>
      </c>
      <c r="J233" t="str">
        <f>_xlfn.XLOOKUP(tblOrders[[#This Row],[ProductID]],Products!$A$2:$A$9,Products!$B$2:$B$9,"Unknown")</f>
        <v>Printer</v>
      </c>
      <c r="K233" t="str">
        <f>_xlfn.XLOOKUP(tblOrders[[#This Row],[ProductID]],Products!$A$2:$A$9,Products!$C$2:$C$9,"Unknown")</f>
        <v>Electronics</v>
      </c>
      <c r="L233">
        <f>_xlfn.XLOOKUP(tblOrders[[#This Row],[ProductID]],Products!$A$2:$A$9,Products!$D$2:$D$9,0)</f>
        <v>6200</v>
      </c>
      <c r="M233">
        <f>tblOrders[[#This Row],[Quantity]]*tblOrders[[#This Row],[UnitPrice]]*(1-tblOrders[[#This Row],[Discount]])</f>
        <v>40000</v>
      </c>
      <c r="N233">
        <f>tblOrders[[#This Row],[Quantity]]*tblOrders[[#This Row],[UnitCost]]</f>
        <v>31000</v>
      </c>
      <c r="O233">
        <f>tblOrders[[#This Row],[Revenue]]-tblOrders[[#This Row],[Cost]]</f>
        <v>9000</v>
      </c>
      <c r="P233" t="str">
        <f>TEXT(tblOrders[[#This Row],[OrderDate]],"mmm")</f>
        <v>Sep</v>
      </c>
    </row>
    <row r="234" spans="1:16" x14ac:dyDescent="0.25">
      <c r="A234" t="s">
        <v>172</v>
      </c>
      <c r="B234" s="2">
        <v>45736</v>
      </c>
      <c r="C234" t="s">
        <v>158</v>
      </c>
      <c r="D234" t="s">
        <v>16</v>
      </c>
      <c r="E234" t="s">
        <v>17</v>
      </c>
      <c r="F234" t="s">
        <v>69</v>
      </c>
      <c r="G234">
        <v>13</v>
      </c>
      <c r="H234">
        <v>12000</v>
      </c>
      <c r="I234">
        <v>0</v>
      </c>
      <c r="J234" t="str">
        <f>_xlfn.XLOOKUP(tblOrders[[#This Row],[ProductID]],Products!$A$2:$A$9,Products!$B$2:$B$9,"Unknown")</f>
        <v>Monitor</v>
      </c>
      <c r="K234" t="str">
        <f>_xlfn.XLOOKUP(tblOrders[[#This Row],[ProductID]],Products!$A$2:$A$9,Products!$C$2:$C$9,"Unknown")</f>
        <v>Electronics</v>
      </c>
      <c r="L234">
        <f>_xlfn.XLOOKUP(tblOrders[[#This Row],[ProductID]],Products!$A$2:$A$9,Products!$D$2:$D$9,0)</f>
        <v>9000</v>
      </c>
      <c r="M234">
        <f>tblOrders[[#This Row],[Quantity]]*tblOrders[[#This Row],[UnitPrice]]*(1-tblOrders[[#This Row],[Discount]])</f>
        <v>156000</v>
      </c>
      <c r="N234">
        <f>tblOrders[[#This Row],[Quantity]]*tblOrders[[#This Row],[UnitCost]]</f>
        <v>117000</v>
      </c>
      <c r="O234">
        <f>tblOrders[[#This Row],[Revenue]]-tblOrders[[#This Row],[Cost]]</f>
        <v>39000</v>
      </c>
      <c r="P234" t="str">
        <f>TEXT(tblOrders[[#This Row],[OrderDate]],"mmm")</f>
        <v>Mar</v>
      </c>
    </row>
    <row r="235" spans="1:16" x14ac:dyDescent="0.25">
      <c r="A235" t="s">
        <v>998</v>
      </c>
      <c r="B235" s="2">
        <v>45668</v>
      </c>
      <c r="C235" t="s">
        <v>48</v>
      </c>
      <c r="D235" t="s">
        <v>16</v>
      </c>
      <c r="E235" t="s">
        <v>33</v>
      </c>
      <c r="F235" t="s">
        <v>13</v>
      </c>
      <c r="G235">
        <v>8</v>
      </c>
      <c r="H235">
        <v>2000</v>
      </c>
      <c r="I235">
        <v>0</v>
      </c>
      <c r="J235" t="str">
        <f>_xlfn.XLOOKUP(tblOrders[[#This Row],[ProductID]],Products!$A$2:$A$9,Products!$B$2:$B$9,"Unknown")</f>
        <v>Headset</v>
      </c>
      <c r="K235" t="str">
        <f>_xlfn.XLOOKUP(tblOrders[[#This Row],[ProductID]],Products!$A$2:$A$9,Products!$C$2:$C$9,"Unknown")</f>
        <v>Accessories</v>
      </c>
      <c r="L235">
        <f>_xlfn.XLOOKUP(tblOrders[[#This Row],[ProductID]],Products!$A$2:$A$9,Products!$D$2:$D$9,0)</f>
        <v>1300</v>
      </c>
      <c r="M235">
        <f>tblOrders[[#This Row],[Quantity]]*tblOrders[[#This Row],[UnitPrice]]*(1-tblOrders[[#This Row],[Discount]])</f>
        <v>16000</v>
      </c>
      <c r="N235">
        <f>tblOrders[[#This Row],[Quantity]]*tblOrders[[#This Row],[UnitCost]]</f>
        <v>10400</v>
      </c>
      <c r="O235">
        <f>tblOrders[[#This Row],[Revenue]]-tblOrders[[#This Row],[Cost]]</f>
        <v>5600</v>
      </c>
      <c r="P235" t="str">
        <f>TEXT(tblOrders[[#This Row],[OrderDate]],"mmm")</f>
        <v>Jan</v>
      </c>
    </row>
    <row r="236" spans="1:16" x14ac:dyDescent="0.25">
      <c r="A236" t="s">
        <v>311</v>
      </c>
      <c r="B236" s="2">
        <v>45824</v>
      </c>
      <c r="C236" t="s">
        <v>113</v>
      </c>
      <c r="D236" t="s">
        <v>16</v>
      </c>
      <c r="E236" t="s">
        <v>17</v>
      </c>
      <c r="F236" t="s">
        <v>34</v>
      </c>
      <c r="G236">
        <v>5</v>
      </c>
      <c r="H236">
        <v>55000</v>
      </c>
      <c r="I236">
        <v>0.05</v>
      </c>
      <c r="J236" t="str">
        <f>_xlfn.XLOOKUP(tblOrders[[#This Row],[ProductID]],Products!$A$2:$A$9,Products!$B$2:$B$9,"Unknown")</f>
        <v>Laptop</v>
      </c>
      <c r="K236" t="str">
        <f>_xlfn.XLOOKUP(tblOrders[[#This Row],[ProductID]],Products!$A$2:$A$9,Products!$C$2:$C$9,"Unknown")</f>
        <v>Electronics</v>
      </c>
      <c r="L236">
        <f>_xlfn.XLOOKUP(tblOrders[[#This Row],[ProductID]],Products!$A$2:$A$9,Products!$D$2:$D$9,0)</f>
        <v>41000</v>
      </c>
      <c r="M236">
        <f>tblOrders[[#This Row],[Quantity]]*tblOrders[[#This Row],[UnitPrice]]*(1-tblOrders[[#This Row],[Discount]])</f>
        <v>261250</v>
      </c>
      <c r="N236">
        <f>tblOrders[[#This Row],[Quantity]]*tblOrders[[#This Row],[UnitCost]]</f>
        <v>205000</v>
      </c>
      <c r="O236">
        <f>tblOrders[[#This Row],[Revenue]]-tblOrders[[#This Row],[Cost]]</f>
        <v>56250</v>
      </c>
      <c r="P236" t="str">
        <f>TEXT(tblOrders[[#This Row],[OrderDate]],"mmm")</f>
        <v>Jun</v>
      </c>
    </row>
    <row r="237" spans="1:16" x14ac:dyDescent="0.25">
      <c r="A237" t="s">
        <v>305</v>
      </c>
      <c r="B237" s="2">
        <v>45908</v>
      </c>
      <c r="C237" t="s">
        <v>113</v>
      </c>
      <c r="D237" t="s">
        <v>21</v>
      </c>
      <c r="E237" t="s">
        <v>22</v>
      </c>
      <c r="F237" t="s">
        <v>55</v>
      </c>
      <c r="G237">
        <v>3</v>
      </c>
      <c r="H237">
        <v>8000</v>
      </c>
      <c r="I237">
        <v>0.1</v>
      </c>
      <c r="J237" t="str">
        <f>_xlfn.XLOOKUP(tblOrders[[#This Row],[ProductID]],Products!$A$2:$A$9,Products!$B$2:$B$9,"Unknown")</f>
        <v>Printer</v>
      </c>
      <c r="K237" t="str">
        <f>_xlfn.XLOOKUP(tblOrders[[#This Row],[ProductID]],Products!$A$2:$A$9,Products!$C$2:$C$9,"Unknown")</f>
        <v>Electronics</v>
      </c>
      <c r="L237">
        <f>_xlfn.XLOOKUP(tblOrders[[#This Row],[ProductID]],Products!$A$2:$A$9,Products!$D$2:$D$9,0)</f>
        <v>6200</v>
      </c>
      <c r="M237">
        <f>tblOrders[[#This Row],[Quantity]]*tblOrders[[#This Row],[UnitPrice]]*(1-tblOrders[[#This Row],[Discount]])</f>
        <v>21600</v>
      </c>
      <c r="N237">
        <f>tblOrders[[#This Row],[Quantity]]*tblOrders[[#This Row],[UnitCost]]</f>
        <v>18600</v>
      </c>
      <c r="O237">
        <f>tblOrders[[#This Row],[Revenue]]-tblOrders[[#This Row],[Cost]]</f>
        <v>3000</v>
      </c>
      <c r="P237" t="str">
        <f>TEXT(tblOrders[[#This Row],[OrderDate]],"mmm")</f>
        <v>Sep</v>
      </c>
    </row>
    <row r="238" spans="1:16" x14ac:dyDescent="0.25">
      <c r="A238" t="s">
        <v>742</v>
      </c>
      <c r="B238" s="2">
        <v>45674</v>
      </c>
      <c r="C238" t="s">
        <v>45</v>
      </c>
      <c r="D238" t="s">
        <v>11</v>
      </c>
      <c r="E238" t="s">
        <v>12</v>
      </c>
      <c r="F238" t="s">
        <v>23</v>
      </c>
      <c r="G238">
        <v>7</v>
      </c>
      <c r="H238">
        <v>900</v>
      </c>
      <c r="I238">
        <v>0.05</v>
      </c>
      <c r="J238" t="str">
        <f>_xlfn.XLOOKUP(tblOrders[[#This Row],[ProductID]],Products!$A$2:$A$9,Products!$B$2:$B$9,"Unknown")</f>
        <v>Keyboard</v>
      </c>
      <c r="K238" t="str">
        <f>_xlfn.XLOOKUP(tblOrders[[#This Row],[ProductID]],Products!$A$2:$A$9,Products!$C$2:$C$9,"Unknown")</f>
        <v>Accessories</v>
      </c>
      <c r="L238">
        <f>_xlfn.XLOOKUP(tblOrders[[#This Row],[ProductID]],Products!$A$2:$A$9,Products!$D$2:$D$9,0)</f>
        <v>600</v>
      </c>
      <c r="M238">
        <f>tblOrders[[#This Row],[Quantity]]*tblOrders[[#This Row],[UnitPrice]]*(1-tblOrders[[#This Row],[Discount]])</f>
        <v>5985</v>
      </c>
      <c r="N238">
        <f>tblOrders[[#This Row],[Quantity]]*tblOrders[[#This Row],[UnitCost]]</f>
        <v>4200</v>
      </c>
      <c r="O238">
        <f>tblOrders[[#This Row],[Revenue]]-tblOrders[[#This Row],[Cost]]</f>
        <v>1785</v>
      </c>
      <c r="P238" t="str">
        <f>TEXT(tblOrders[[#This Row],[OrderDate]],"mmm")</f>
        <v>Jan</v>
      </c>
    </row>
    <row r="239" spans="1:16" x14ac:dyDescent="0.25">
      <c r="A239" t="s">
        <v>1037</v>
      </c>
      <c r="B239" s="2">
        <v>45922</v>
      </c>
      <c r="C239" t="s">
        <v>207</v>
      </c>
      <c r="D239" t="s">
        <v>16</v>
      </c>
      <c r="E239" t="s">
        <v>33</v>
      </c>
      <c r="F239" t="s">
        <v>64</v>
      </c>
      <c r="G239">
        <v>12</v>
      </c>
      <c r="H239">
        <v>500</v>
      </c>
      <c r="I239">
        <v>0.05</v>
      </c>
      <c r="J239" t="str">
        <f>_xlfn.XLOOKUP(tblOrders[[#This Row],[ProductID]],Products!$A$2:$A$9,Products!$B$2:$B$9,"Unknown")</f>
        <v>Mouse</v>
      </c>
      <c r="K239" t="str">
        <f>_xlfn.XLOOKUP(tblOrders[[#This Row],[ProductID]],Products!$A$2:$A$9,Products!$C$2:$C$9,"Unknown")</f>
        <v>Accessories</v>
      </c>
      <c r="L239">
        <f>_xlfn.XLOOKUP(tblOrders[[#This Row],[ProductID]],Products!$A$2:$A$9,Products!$D$2:$D$9,0)</f>
        <v>320</v>
      </c>
      <c r="M239">
        <f>tblOrders[[#This Row],[Quantity]]*tblOrders[[#This Row],[UnitPrice]]*(1-tblOrders[[#This Row],[Discount]])</f>
        <v>5700</v>
      </c>
      <c r="N239">
        <f>tblOrders[[#This Row],[Quantity]]*tblOrders[[#This Row],[UnitCost]]</f>
        <v>3840</v>
      </c>
      <c r="O239">
        <f>tblOrders[[#This Row],[Revenue]]-tblOrders[[#This Row],[Cost]]</f>
        <v>1860</v>
      </c>
      <c r="P239" t="str">
        <f>TEXT(tblOrders[[#This Row],[OrderDate]],"mmm")</f>
        <v>Sep</v>
      </c>
    </row>
    <row r="240" spans="1:16" x14ac:dyDescent="0.25">
      <c r="A240" t="s">
        <v>992</v>
      </c>
      <c r="B240" s="2">
        <v>45733</v>
      </c>
      <c r="C240" t="s">
        <v>59</v>
      </c>
      <c r="D240" t="s">
        <v>11</v>
      </c>
      <c r="E240" t="s">
        <v>46</v>
      </c>
      <c r="F240" t="s">
        <v>23</v>
      </c>
      <c r="G240">
        <v>9</v>
      </c>
      <c r="H240">
        <v>900</v>
      </c>
      <c r="I240">
        <v>0.15</v>
      </c>
      <c r="J240" t="str">
        <f>_xlfn.XLOOKUP(tblOrders[[#This Row],[ProductID]],Products!$A$2:$A$9,Products!$B$2:$B$9,"Unknown")</f>
        <v>Keyboard</v>
      </c>
      <c r="K240" t="str">
        <f>_xlfn.XLOOKUP(tblOrders[[#This Row],[ProductID]],Products!$A$2:$A$9,Products!$C$2:$C$9,"Unknown")</f>
        <v>Accessories</v>
      </c>
      <c r="L240">
        <f>_xlfn.XLOOKUP(tblOrders[[#This Row],[ProductID]],Products!$A$2:$A$9,Products!$D$2:$D$9,0)</f>
        <v>600</v>
      </c>
      <c r="M240">
        <f>tblOrders[[#This Row],[Quantity]]*tblOrders[[#This Row],[UnitPrice]]*(1-tblOrders[[#This Row],[Discount]])</f>
        <v>6885</v>
      </c>
      <c r="N240">
        <f>tblOrders[[#This Row],[Quantity]]*tblOrders[[#This Row],[UnitCost]]</f>
        <v>5400</v>
      </c>
      <c r="O240">
        <f>tblOrders[[#This Row],[Revenue]]-tblOrders[[#This Row],[Cost]]</f>
        <v>1485</v>
      </c>
      <c r="P240" t="str">
        <f>TEXT(tblOrders[[#This Row],[OrderDate]],"mmm")</f>
        <v>Mar</v>
      </c>
    </row>
    <row r="241" spans="1:16" x14ac:dyDescent="0.25">
      <c r="A241" t="s">
        <v>578</v>
      </c>
      <c r="B241" s="2">
        <v>45727</v>
      </c>
      <c r="C241" t="s">
        <v>32</v>
      </c>
      <c r="D241" t="s">
        <v>39</v>
      </c>
      <c r="E241" t="s">
        <v>76</v>
      </c>
      <c r="F241" t="s">
        <v>64</v>
      </c>
      <c r="G241">
        <v>4</v>
      </c>
      <c r="H241">
        <v>500</v>
      </c>
      <c r="I241">
        <v>0</v>
      </c>
      <c r="J241" t="str">
        <f>_xlfn.XLOOKUP(tblOrders[[#This Row],[ProductID]],Products!$A$2:$A$9,Products!$B$2:$B$9,"Unknown")</f>
        <v>Mouse</v>
      </c>
      <c r="K241" t="str">
        <f>_xlfn.XLOOKUP(tblOrders[[#This Row],[ProductID]],Products!$A$2:$A$9,Products!$C$2:$C$9,"Unknown")</f>
        <v>Accessories</v>
      </c>
      <c r="L241">
        <f>_xlfn.XLOOKUP(tblOrders[[#This Row],[ProductID]],Products!$A$2:$A$9,Products!$D$2:$D$9,0)</f>
        <v>320</v>
      </c>
      <c r="M241">
        <f>tblOrders[[#This Row],[Quantity]]*tblOrders[[#This Row],[UnitPrice]]*(1-tblOrders[[#This Row],[Discount]])</f>
        <v>2000</v>
      </c>
      <c r="N241">
        <f>tblOrders[[#This Row],[Quantity]]*tblOrders[[#This Row],[UnitCost]]</f>
        <v>1280</v>
      </c>
      <c r="O241">
        <f>tblOrders[[#This Row],[Revenue]]-tblOrders[[#This Row],[Cost]]</f>
        <v>720</v>
      </c>
      <c r="P241" t="str">
        <f>TEXT(tblOrders[[#This Row],[OrderDate]],"mmm")</f>
        <v>Mar</v>
      </c>
    </row>
    <row r="242" spans="1:16" x14ac:dyDescent="0.25">
      <c r="A242" t="s">
        <v>881</v>
      </c>
      <c r="B242" s="2">
        <v>45834</v>
      </c>
      <c r="C242" t="s">
        <v>149</v>
      </c>
      <c r="D242" t="s">
        <v>11</v>
      </c>
      <c r="E242" t="s">
        <v>46</v>
      </c>
      <c r="F242" t="s">
        <v>69</v>
      </c>
      <c r="G242">
        <v>1</v>
      </c>
      <c r="H242">
        <v>12000</v>
      </c>
      <c r="I242">
        <v>0</v>
      </c>
      <c r="J242" t="str">
        <f>_xlfn.XLOOKUP(tblOrders[[#This Row],[ProductID]],Products!$A$2:$A$9,Products!$B$2:$B$9,"Unknown")</f>
        <v>Monitor</v>
      </c>
      <c r="K242" t="str">
        <f>_xlfn.XLOOKUP(tblOrders[[#This Row],[ProductID]],Products!$A$2:$A$9,Products!$C$2:$C$9,"Unknown")</f>
        <v>Electronics</v>
      </c>
      <c r="L242">
        <f>_xlfn.XLOOKUP(tblOrders[[#This Row],[ProductID]],Products!$A$2:$A$9,Products!$D$2:$D$9,0)</f>
        <v>9000</v>
      </c>
      <c r="M242">
        <f>tblOrders[[#This Row],[Quantity]]*tblOrders[[#This Row],[UnitPrice]]*(1-tblOrders[[#This Row],[Discount]])</f>
        <v>12000</v>
      </c>
      <c r="N242">
        <f>tblOrders[[#This Row],[Quantity]]*tblOrders[[#This Row],[UnitCost]]</f>
        <v>9000</v>
      </c>
      <c r="O242">
        <f>tblOrders[[#This Row],[Revenue]]-tblOrders[[#This Row],[Cost]]</f>
        <v>3000</v>
      </c>
      <c r="P242" t="str">
        <f>TEXT(tblOrders[[#This Row],[OrderDate]],"mmm")</f>
        <v>Jun</v>
      </c>
    </row>
    <row r="243" spans="1:16" x14ac:dyDescent="0.25">
      <c r="A243" t="s">
        <v>312</v>
      </c>
      <c r="B243" s="2">
        <v>45947</v>
      </c>
      <c r="C243" t="s">
        <v>130</v>
      </c>
      <c r="D243" t="s">
        <v>21</v>
      </c>
      <c r="E243" t="s">
        <v>22</v>
      </c>
      <c r="F243" t="s">
        <v>23</v>
      </c>
      <c r="G243">
        <v>11</v>
      </c>
      <c r="H243">
        <v>900</v>
      </c>
      <c r="I243">
        <v>0.15</v>
      </c>
      <c r="J243" t="str">
        <f>_xlfn.XLOOKUP(tblOrders[[#This Row],[ProductID]],Products!$A$2:$A$9,Products!$B$2:$B$9,"Unknown")</f>
        <v>Keyboard</v>
      </c>
      <c r="K243" t="str">
        <f>_xlfn.XLOOKUP(tblOrders[[#This Row],[ProductID]],Products!$A$2:$A$9,Products!$C$2:$C$9,"Unknown")</f>
        <v>Accessories</v>
      </c>
      <c r="L243">
        <f>_xlfn.XLOOKUP(tblOrders[[#This Row],[ProductID]],Products!$A$2:$A$9,Products!$D$2:$D$9,0)</f>
        <v>600</v>
      </c>
      <c r="M243">
        <f>tblOrders[[#This Row],[Quantity]]*tblOrders[[#This Row],[UnitPrice]]*(1-tblOrders[[#This Row],[Discount]])</f>
        <v>8415</v>
      </c>
      <c r="N243">
        <f>tblOrders[[#This Row],[Quantity]]*tblOrders[[#This Row],[UnitCost]]</f>
        <v>6600</v>
      </c>
      <c r="O243">
        <f>tblOrders[[#This Row],[Revenue]]-tblOrders[[#This Row],[Cost]]</f>
        <v>1815</v>
      </c>
      <c r="P243" t="str">
        <f>TEXT(tblOrders[[#This Row],[OrderDate]],"mmm")</f>
        <v>Oct</v>
      </c>
    </row>
    <row r="244" spans="1:16" x14ac:dyDescent="0.25">
      <c r="A244" t="s">
        <v>253</v>
      </c>
      <c r="B244" s="2">
        <v>45943</v>
      </c>
      <c r="C244" t="s">
        <v>66</v>
      </c>
      <c r="D244" t="s">
        <v>16</v>
      </c>
      <c r="E244" t="s">
        <v>33</v>
      </c>
      <c r="F244" t="s">
        <v>18</v>
      </c>
      <c r="G244">
        <v>13</v>
      </c>
      <c r="H244">
        <v>18000</v>
      </c>
      <c r="I244">
        <v>0</v>
      </c>
      <c r="J244" t="str">
        <f>_xlfn.XLOOKUP(tblOrders[[#This Row],[ProductID]],Products!$A$2:$A$9,Products!$B$2:$B$9,"Unknown")</f>
        <v>Tablet</v>
      </c>
      <c r="K244" t="str">
        <f>_xlfn.XLOOKUP(tblOrders[[#This Row],[ProductID]],Products!$A$2:$A$9,Products!$C$2:$C$9,"Unknown")</f>
        <v>Electronics</v>
      </c>
      <c r="L244">
        <f>_xlfn.XLOOKUP(tblOrders[[#This Row],[ProductID]],Products!$A$2:$A$9,Products!$D$2:$D$9,0)</f>
        <v>13500</v>
      </c>
      <c r="M244">
        <f>tblOrders[[#This Row],[Quantity]]*tblOrders[[#This Row],[UnitPrice]]*(1-tblOrders[[#This Row],[Discount]])</f>
        <v>234000</v>
      </c>
      <c r="N244">
        <f>tblOrders[[#This Row],[Quantity]]*tblOrders[[#This Row],[UnitCost]]</f>
        <v>175500</v>
      </c>
      <c r="O244">
        <f>tblOrders[[#This Row],[Revenue]]-tblOrders[[#This Row],[Cost]]</f>
        <v>58500</v>
      </c>
      <c r="P244" t="str">
        <f>TEXT(tblOrders[[#This Row],[OrderDate]],"mmm")</f>
        <v>Oct</v>
      </c>
    </row>
    <row r="245" spans="1:16" x14ac:dyDescent="0.25">
      <c r="A245" t="s">
        <v>903</v>
      </c>
      <c r="B245" s="2">
        <v>45704</v>
      </c>
      <c r="C245" t="s">
        <v>136</v>
      </c>
      <c r="D245" t="s">
        <v>39</v>
      </c>
      <c r="E245" t="s">
        <v>76</v>
      </c>
      <c r="F245" t="s">
        <v>18</v>
      </c>
      <c r="G245">
        <v>7</v>
      </c>
      <c r="H245">
        <v>18000</v>
      </c>
      <c r="I245">
        <v>0.05</v>
      </c>
      <c r="J245" t="str">
        <f>_xlfn.XLOOKUP(tblOrders[[#This Row],[ProductID]],Products!$A$2:$A$9,Products!$B$2:$B$9,"Unknown")</f>
        <v>Tablet</v>
      </c>
      <c r="K245" t="str">
        <f>_xlfn.XLOOKUP(tblOrders[[#This Row],[ProductID]],Products!$A$2:$A$9,Products!$C$2:$C$9,"Unknown")</f>
        <v>Electronics</v>
      </c>
      <c r="L245">
        <f>_xlfn.XLOOKUP(tblOrders[[#This Row],[ProductID]],Products!$A$2:$A$9,Products!$D$2:$D$9,0)</f>
        <v>13500</v>
      </c>
      <c r="M245">
        <f>tblOrders[[#This Row],[Quantity]]*tblOrders[[#This Row],[UnitPrice]]*(1-tblOrders[[#This Row],[Discount]])</f>
        <v>119700</v>
      </c>
      <c r="N245">
        <f>tblOrders[[#This Row],[Quantity]]*tblOrders[[#This Row],[UnitCost]]</f>
        <v>94500</v>
      </c>
      <c r="O245">
        <f>tblOrders[[#This Row],[Revenue]]-tblOrders[[#This Row],[Cost]]</f>
        <v>25200</v>
      </c>
      <c r="P245" t="str">
        <f>TEXT(tblOrders[[#This Row],[OrderDate]],"mmm")</f>
        <v>Feb</v>
      </c>
    </row>
    <row r="246" spans="1:16" x14ac:dyDescent="0.25">
      <c r="A246" t="s">
        <v>558</v>
      </c>
      <c r="B246" s="2">
        <v>45854</v>
      </c>
      <c r="C246" t="s">
        <v>25</v>
      </c>
      <c r="D246" t="s">
        <v>16</v>
      </c>
      <c r="E246" t="s">
        <v>17</v>
      </c>
      <c r="F246" t="s">
        <v>23</v>
      </c>
      <c r="G246">
        <v>8</v>
      </c>
      <c r="H246">
        <v>900</v>
      </c>
      <c r="I246">
        <v>0.15</v>
      </c>
      <c r="J246" t="str">
        <f>_xlfn.XLOOKUP(tblOrders[[#This Row],[ProductID]],Products!$A$2:$A$9,Products!$B$2:$B$9,"Unknown")</f>
        <v>Keyboard</v>
      </c>
      <c r="K246" t="str">
        <f>_xlfn.XLOOKUP(tblOrders[[#This Row],[ProductID]],Products!$A$2:$A$9,Products!$C$2:$C$9,"Unknown")</f>
        <v>Accessories</v>
      </c>
      <c r="L246">
        <f>_xlfn.XLOOKUP(tblOrders[[#This Row],[ProductID]],Products!$A$2:$A$9,Products!$D$2:$D$9,0)</f>
        <v>600</v>
      </c>
      <c r="M246">
        <f>tblOrders[[#This Row],[Quantity]]*tblOrders[[#This Row],[UnitPrice]]*(1-tblOrders[[#This Row],[Discount]])</f>
        <v>6120</v>
      </c>
      <c r="N246">
        <f>tblOrders[[#This Row],[Quantity]]*tblOrders[[#This Row],[UnitCost]]</f>
        <v>4800</v>
      </c>
      <c r="O246">
        <f>tblOrders[[#This Row],[Revenue]]-tblOrders[[#This Row],[Cost]]</f>
        <v>1320</v>
      </c>
      <c r="P246" t="str">
        <f>TEXT(tblOrders[[#This Row],[OrderDate]],"mmm")</f>
        <v>Jul</v>
      </c>
    </row>
    <row r="247" spans="1:16" x14ac:dyDescent="0.25">
      <c r="A247" t="s">
        <v>379</v>
      </c>
      <c r="B247" s="2">
        <v>45739</v>
      </c>
      <c r="C247" t="s">
        <v>117</v>
      </c>
      <c r="D247" t="s">
        <v>39</v>
      </c>
      <c r="E247" t="s">
        <v>40</v>
      </c>
      <c r="F247" t="s">
        <v>55</v>
      </c>
      <c r="G247">
        <v>8</v>
      </c>
      <c r="H247">
        <v>8000</v>
      </c>
      <c r="I247">
        <v>0</v>
      </c>
      <c r="J247" t="str">
        <f>_xlfn.XLOOKUP(tblOrders[[#This Row],[ProductID]],Products!$A$2:$A$9,Products!$B$2:$B$9,"Unknown")</f>
        <v>Printer</v>
      </c>
      <c r="K247" t="str">
        <f>_xlfn.XLOOKUP(tblOrders[[#This Row],[ProductID]],Products!$A$2:$A$9,Products!$C$2:$C$9,"Unknown")</f>
        <v>Electronics</v>
      </c>
      <c r="L247">
        <f>_xlfn.XLOOKUP(tblOrders[[#This Row],[ProductID]],Products!$A$2:$A$9,Products!$D$2:$D$9,0)</f>
        <v>6200</v>
      </c>
      <c r="M247">
        <f>tblOrders[[#This Row],[Quantity]]*tblOrders[[#This Row],[UnitPrice]]*(1-tblOrders[[#This Row],[Discount]])</f>
        <v>64000</v>
      </c>
      <c r="N247">
        <f>tblOrders[[#This Row],[Quantity]]*tblOrders[[#This Row],[UnitCost]]</f>
        <v>49600</v>
      </c>
      <c r="O247">
        <f>tblOrders[[#This Row],[Revenue]]-tblOrders[[#This Row],[Cost]]</f>
        <v>14400</v>
      </c>
      <c r="P247" t="str">
        <f>TEXT(tblOrders[[#This Row],[OrderDate]],"mmm")</f>
        <v>Mar</v>
      </c>
    </row>
    <row r="248" spans="1:16" x14ac:dyDescent="0.25">
      <c r="A248" t="s">
        <v>263</v>
      </c>
      <c r="B248" s="2">
        <v>45924</v>
      </c>
      <c r="C248" t="s">
        <v>63</v>
      </c>
      <c r="D248" t="s">
        <v>21</v>
      </c>
      <c r="E248" t="s">
        <v>22</v>
      </c>
      <c r="F248" t="s">
        <v>64</v>
      </c>
      <c r="G248">
        <v>15</v>
      </c>
      <c r="H248">
        <v>500</v>
      </c>
      <c r="I248">
        <v>0.05</v>
      </c>
      <c r="J248" t="str">
        <f>_xlfn.XLOOKUP(tblOrders[[#This Row],[ProductID]],Products!$A$2:$A$9,Products!$B$2:$B$9,"Unknown")</f>
        <v>Mouse</v>
      </c>
      <c r="K248" t="str">
        <f>_xlfn.XLOOKUP(tblOrders[[#This Row],[ProductID]],Products!$A$2:$A$9,Products!$C$2:$C$9,"Unknown")</f>
        <v>Accessories</v>
      </c>
      <c r="L248">
        <f>_xlfn.XLOOKUP(tblOrders[[#This Row],[ProductID]],Products!$A$2:$A$9,Products!$D$2:$D$9,0)</f>
        <v>320</v>
      </c>
      <c r="M248">
        <f>tblOrders[[#This Row],[Quantity]]*tblOrders[[#This Row],[UnitPrice]]*(1-tblOrders[[#This Row],[Discount]])</f>
        <v>7125</v>
      </c>
      <c r="N248">
        <f>tblOrders[[#This Row],[Quantity]]*tblOrders[[#This Row],[UnitCost]]</f>
        <v>4800</v>
      </c>
      <c r="O248">
        <f>tblOrders[[#This Row],[Revenue]]-tblOrders[[#This Row],[Cost]]</f>
        <v>2325</v>
      </c>
      <c r="P248" t="str">
        <f>TEXT(tblOrders[[#This Row],[OrderDate]],"mmm")</f>
        <v>Sep</v>
      </c>
    </row>
    <row r="249" spans="1:16" x14ac:dyDescent="0.25">
      <c r="A249" t="s">
        <v>72</v>
      </c>
      <c r="B249" s="2">
        <v>45902</v>
      </c>
      <c r="C249" t="s">
        <v>73</v>
      </c>
      <c r="D249" t="s">
        <v>16</v>
      </c>
      <c r="E249" t="s">
        <v>33</v>
      </c>
      <c r="F249" t="s">
        <v>23</v>
      </c>
      <c r="G249">
        <v>12</v>
      </c>
      <c r="H249">
        <v>900</v>
      </c>
      <c r="I249">
        <v>0</v>
      </c>
      <c r="J249" t="str">
        <f>_xlfn.XLOOKUP(tblOrders[[#This Row],[ProductID]],Products!$A$2:$A$9,Products!$B$2:$B$9,"Unknown")</f>
        <v>Keyboard</v>
      </c>
      <c r="K249" t="str">
        <f>_xlfn.XLOOKUP(tblOrders[[#This Row],[ProductID]],Products!$A$2:$A$9,Products!$C$2:$C$9,"Unknown")</f>
        <v>Accessories</v>
      </c>
      <c r="L249">
        <f>_xlfn.XLOOKUP(tblOrders[[#This Row],[ProductID]],Products!$A$2:$A$9,Products!$D$2:$D$9,0)</f>
        <v>600</v>
      </c>
      <c r="M249">
        <f>tblOrders[[#This Row],[Quantity]]*tblOrders[[#This Row],[UnitPrice]]*(1-tblOrders[[#This Row],[Discount]])</f>
        <v>10800</v>
      </c>
      <c r="N249">
        <f>tblOrders[[#This Row],[Quantity]]*tblOrders[[#This Row],[UnitCost]]</f>
        <v>7200</v>
      </c>
      <c r="O249">
        <f>tblOrders[[#This Row],[Revenue]]-tblOrders[[#This Row],[Cost]]</f>
        <v>3600</v>
      </c>
      <c r="P249" t="str">
        <f>TEXT(tblOrders[[#This Row],[OrderDate]],"mmm")</f>
        <v>Sep</v>
      </c>
    </row>
    <row r="250" spans="1:16" x14ac:dyDescent="0.25">
      <c r="A250" t="s">
        <v>1010</v>
      </c>
      <c r="B250" s="2">
        <v>45719</v>
      </c>
      <c r="C250" t="s">
        <v>25</v>
      </c>
      <c r="D250" t="s">
        <v>16</v>
      </c>
      <c r="E250" t="s">
        <v>17</v>
      </c>
      <c r="F250" t="s">
        <v>18</v>
      </c>
      <c r="G250">
        <v>15</v>
      </c>
      <c r="H250">
        <v>18000</v>
      </c>
      <c r="I250">
        <v>0.05</v>
      </c>
      <c r="J250" t="str">
        <f>_xlfn.XLOOKUP(tblOrders[[#This Row],[ProductID]],Products!$A$2:$A$9,Products!$B$2:$B$9,"Unknown")</f>
        <v>Tablet</v>
      </c>
      <c r="K250" t="str">
        <f>_xlfn.XLOOKUP(tblOrders[[#This Row],[ProductID]],Products!$A$2:$A$9,Products!$C$2:$C$9,"Unknown")</f>
        <v>Electronics</v>
      </c>
      <c r="L250">
        <f>_xlfn.XLOOKUP(tblOrders[[#This Row],[ProductID]],Products!$A$2:$A$9,Products!$D$2:$D$9,0)</f>
        <v>13500</v>
      </c>
      <c r="M250">
        <f>tblOrders[[#This Row],[Quantity]]*tblOrders[[#This Row],[UnitPrice]]*(1-tblOrders[[#This Row],[Discount]])</f>
        <v>256500</v>
      </c>
      <c r="N250">
        <f>tblOrders[[#This Row],[Quantity]]*tblOrders[[#This Row],[UnitCost]]</f>
        <v>202500</v>
      </c>
      <c r="O250">
        <f>tblOrders[[#This Row],[Revenue]]-tblOrders[[#This Row],[Cost]]</f>
        <v>54000</v>
      </c>
      <c r="P250" t="str">
        <f>TEXT(tblOrders[[#This Row],[OrderDate]],"mmm")</f>
        <v>Mar</v>
      </c>
    </row>
    <row r="251" spans="1:16" x14ac:dyDescent="0.25">
      <c r="A251" t="s">
        <v>315</v>
      </c>
      <c r="B251" s="2">
        <v>45851</v>
      </c>
      <c r="C251" t="s">
        <v>27</v>
      </c>
      <c r="D251" t="s">
        <v>39</v>
      </c>
      <c r="E251" t="s">
        <v>76</v>
      </c>
      <c r="F251" t="s">
        <v>23</v>
      </c>
      <c r="G251">
        <v>8</v>
      </c>
      <c r="H251">
        <v>900</v>
      </c>
      <c r="I251">
        <v>0.15</v>
      </c>
      <c r="J251" t="str">
        <f>_xlfn.XLOOKUP(tblOrders[[#This Row],[ProductID]],Products!$A$2:$A$9,Products!$B$2:$B$9,"Unknown")</f>
        <v>Keyboard</v>
      </c>
      <c r="K251" t="str">
        <f>_xlfn.XLOOKUP(tblOrders[[#This Row],[ProductID]],Products!$A$2:$A$9,Products!$C$2:$C$9,"Unknown")</f>
        <v>Accessories</v>
      </c>
      <c r="L251">
        <f>_xlfn.XLOOKUP(tblOrders[[#This Row],[ProductID]],Products!$A$2:$A$9,Products!$D$2:$D$9,0)</f>
        <v>600</v>
      </c>
      <c r="M251">
        <f>tblOrders[[#This Row],[Quantity]]*tblOrders[[#This Row],[UnitPrice]]*(1-tblOrders[[#This Row],[Discount]])</f>
        <v>6120</v>
      </c>
      <c r="N251">
        <f>tblOrders[[#This Row],[Quantity]]*tblOrders[[#This Row],[UnitCost]]</f>
        <v>4800</v>
      </c>
      <c r="O251">
        <f>tblOrders[[#This Row],[Revenue]]-tblOrders[[#This Row],[Cost]]</f>
        <v>1320</v>
      </c>
      <c r="P251" t="str">
        <f>TEXT(tblOrders[[#This Row],[OrderDate]],"mmm")</f>
        <v>Jul</v>
      </c>
    </row>
    <row r="252" spans="1:16" x14ac:dyDescent="0.25">
      <c r="A252" t="s">
        <v>586</v>
      </c>
      <c r="B252" s="2">
        <v>45695</v>
      </c>
      <c r="C252" t="s">
        <v>73</v>
      </c>
      <c r="D252" t="s">
        <v>21</v>
      </c>
      <c r="E252" t="s">
        <v>28</v>
      </c>
      <c r="F252" t="s">
        <v>34</v>
      </c>
      <c r="G252">
        <v>6</v>
      </c>
      <c r="H252">
        <v>55000</v>
      </c>
      <c r="I252">
        <v>0</v>
      </c>
      <c r="J252" t="str">
        <f>_xlfn.XLOOKUP(tblOrders[[#This Row],[ProductID]],Products!$A$2:$A$9,Products!$B$2:$B$9,"Unknown")</f>
        <v>Laptop</v>
      </c>
      <c r="K252" t="str">
        <f>_xlfn.XLOOKUP(tblOrders[[#This Row],[ProductID]],Products!$A$2:$A$9,Products!$C$2:$C$9,"Unknown")</f>
        <v>Electronics</v>
      </c>
      <c r="L252">
        <f>_xlfn.XLOOKUP(tblOrders[[#This Row],[ProductID]],Products!$A$2:$A$9,Products!$D$2:$D$9,0)</f>
        <v>41000</v>
      </c>
      <c r="M252">
        <f>tblOrders[[#This Row],[Quantity]]*tblOrders[[#This Row],[UnitPrice]]*(1-tblOrders[[#This Row],[Discount]])</f>
        <v>330000</v>
      </c>
      <c r="N252">
        <f>tblOrders[[#This Row],[Quantity]]*tblOrders[[#This Row],[UnitCost]]</f>
        <v>246000</v>
      </c>
      <c r="O252">
        <f>tblOrders[[#This Row],[Revenue]]-tblOrders[[#This Row],[Cost]]</f>
        <v>84000</v>
      </c>
      <c r="P252" t="str">
        <f>TEXT(tblOrders[[#This Row],[OrderDate]],"mmm")</f>
        <v>Feb</v>
      </c>
    </row>
    <row r="253" spans="1:16" x14ac:dyDescent="0.25">
      <c r="A253" t="s">
        <v>211</v>
      </c>
      <c r="B253" s="2">
        <v>45947</v>
      </c>
      <c r="C253" t="s">
        <v>30</v>
      </c>
      <c r="D253" t="s">
        <v>16</v>
      </c>
      <c r="E253" t="s">
        <v>17</v>
      </c>
      <c r="F253" t="s">
        <v>23</v>
      </c>
      <c r="G253">
        <v>14</v>
      </c>
      <c r="H253">
        <v>900</v>
      </c>
      <c r="I253">
        <v>0.15</v>
      </c>
      <c r="J253" t="str">
        <f>_xlfn.XLOOKUP(tblOrders[[#This Row],[ProductID]],Products!$A$2:$A$9,Products!$B$2:$B$9,"Unknown")</f>
        <v>Keyboard</v>
      </c>
      <c r="K253" t="str">
        <f>_xlfn.XLOOKUP(tblOrders[[#This Row],[ProductID]],Products!$A$2:$A$9,Products!$C$2:$C$9,"Unknown")</f>
        <v>Accessories</v>
      </c>
      <c r="L253">
        <f>_xlfn.XLOOKUP(tblOrders[[#This Row],[ProductID]],Products!$A$2:$A$9,Products!$D$2:$D$9,0)</f>
        <v>600</v>
      </c>
      <c r="M253">
        <f>tblOrders[[#This Row],[Quantity]]*tblOrders[[#This Row],[UnitPrice]]*(1-tblOrders[[#This Row],[Discount]])</f>
        <v>10710</v>
      </c>
      <c r="N253">
        <f>tblOrders[[#This Row],[Quantity]]*tblOrders[[#This Row],[UnitCost]]</f>
        <v>8400</v>
      </c>
      <c r="O253">
        <f>tblOrders[[#This Row],[Revenue]]-tblOrders[[#This Row],[Cost]]</f>
        <v>2310</v>
      </c>
      <c r="P253" t="str">
        <f>TEXT(tblOrders[[#This Row],[OrderDate]],"mmm")</f>
        <v>Oct</v>
      </c>
    </row>
    <row r="254" spans="1:16" x14ac:dyDescent="0.25">
      <c r="A254" t="s">
        <v>468</v>
      </c>
      <c r="B254" s="2">
        <v>45986</v>
      </c>
      <c r="C254" t="s">
        <v>73</v>
      </c>
      <c r="D254" t="s">
        <v>39</v>
      </c>
      <c r="E254" t="s">
        <v>76</v>
      </c>
      <c r="F254" t="s">
        <v>13</v>
      </c>
      <c r="G254">
        <v>10</v>
      </c>
      <c r="H254">
        <v>2000</v>
      </c>
      <c r="I254">
        <v>0</v>
      </c>
      <c r="J254" t="str">
        <f>_xlfn.XLOOKUP(tblOrders[[#This Row],[ProductID]],Products!$A$2:$A$9,Products!$B$2:$B$9,"Unknown")</f>
        <v>Headset</v>
      </c>
      <c r="K254" t="str">
        <f>_xlfn.XLOOKUP(tblOrders[[#This Row],[ProductID]],Products!$A$2:$A$9,Products!$C$2:$C$9,"Unknown")</f>
        <v>Accessories</v>
      </c>
      <c r="L254">
        <f>_xlfn.XLOOKUP(tblOrders[[#This Row],[ProductID]],Products!$A$2:$A$9,Products!$D$2:$D$9,0)</f>
        <v>1300</v>
      </c>
      <c r="M254">
        <f>tblOrders[[#This Row],[Quantity]]*tblOrders[[#This Row],[UnitPrice]]*(1-tblOrders[[#This Row],[Discount]])</f>
        <v>20000</v>
      </c>
      <c r="N254">
        <f>tblOrders[[#This Row],[Quantity]]*tblOrders[[#This Row],[UnitCost]]</f>
        <v>13000</v>
      </c>
      <c r="O254">
        <f>tblOrders[[#This Row],[Revenue]]-tblOrders[[#This Row],[Cost]]</f>
        <v>7000</v>
      </c>
      <c r="P254" t="str">
        <f>TEXT(tblOrders[[#This Row],[OrderDate]],"mmm")</f>
        <v>Nov</v>
      </c>
    </row>
    <row r="255" spans="1:16" x14ac:dyDescent="0.25">
      <c r="A255" t="s">
        <v>562</v>
      </c>
      <c r="B255" s="2">
        <v>45673</v>
      </c>
      <c r="C255" t="s">
        <v>153</v>
      </c>
      <c r="D255" t="s">
        <v>11</v>
      </c>
      <c r="E255" t="s">
        <v>46</v>
      </c>
      <c r="F255" t="s">
        <v>18</v>
      </c>
      <c r="G255">
        <v>11</v>
      </c>
      <c r="H255">
        <v>18000</v>
      </c>
      <c r="I255">
        <v>0</v>
      </c>
      <c r="J255" t="str">
        <f>_xlfn.XLOOKUP(tblOrders[[#This Row],[ProductID]],Products!$A$2:$A$9,Products!$B$2:$B$9,"Unknown")</f>
        <v>Tablet</v>
      </c>
      <c r="K255" t="str">
        <f>_xlfn.XLOOKUP(tblOrders[[#This Row],[ProductID]],Products!$A$2:$A$9,Products!$C$2:$C$9,"Unknown")</f>
        <v>Electronics</v>
      </c>
      <c r="L255">
        <f>_xlfn.XLOOKUP(tblOrders[[#This Row],[ProductID]],Products!$A$2:$A$9,Products!$D$2:$D$9,0)</f>
        <v>13500</v>
      </c>
      <c r="M255">
        <f>tblOrders[[#This Row],[Quantity]]*tblOrders[[#This Row],[UnitPrice]]*(1-tblOrders[[#This Row],[Discount]])</f>
        <v>198000</v>
      </c>
      <c r="N255">
        <f>tblOrders[[#This Row],[Quantity]]*tblOrders[[#This Row],[UnitCost]]</f>
        <v>148500</v>
      </c>
      <c r="O255">
        <f>tblOrders[[#This Row],[Revenue]]-tblOrders[[#This Row],[Cost]]</f>
        <v>49500</v>
      </c>
      <c r="P255" t="str">
        <f>TEXT(tblOrders[[#This Row],[OrderDate]],"mmm")</f>
        <v>Jan</v>
      </c>
    </row>
    <row r="256" spans="1:16" x14ac:dyDescent="0.25">
      <c r="A256" t="s">
        <v>1026</v>
      </c>
      <c r="B256" s="2">
        <v>45971</v>
      </c>
      <c r="C256" t="s">
        <v>138</v>
      </c>
      <c r="D256" t="s">
        <v>39</v>
      </c>
      <c r="E256" t="s">
        <v>76</v>
      </c>
      <c r="F256" t="s">
        <v>18</v>
      </c>
      <c r="G256">
        <v>5</v>
      </c>
      <c r="H256">
        <v>18000</v>
      </c>
      <c r="I256">
        <v>0</v>
      </c>
      <c r="J256" t="str">
        <f>_xlfn.XLOOKUP(tblOrders[[#This Row],[ProductID]],Products!$A$2:$A$9,Products!$B$2:$B$9,"Unknown")</f>
        <v>Tablet</v>
      </c>
      <c r="K256" t="str">
        <f>_xlfn.XLOOKUP(tblOrders[[#This Row],[ProductID]],Products!$A$2:$A$9,Products!$C$2:$C$9,"Unknown")</f>
        <v>Electronics</v>
      </c>
      <c r="L256">
        <f>_xlfn.XLOOKUP(tblOrders[[#This Row],[ProductID]],Products!$A$2:$A$9,Products!$D$2:$D$9,0)</f>
        <v>13500</v>
      </c>
      <c r="M256">
        <f>tblOrders[[#This Row],[Quantity]]*tblOrders[[#This Row],[UnitPrice]]*(1-tblOrders[[#This Row],[Discount]])</f>
        <v>90000</v>
      </c>
      <c r="N256">
        <f>tblOrders[[#This Row],[Quantity]]*tblOrders[[#This Row],[UnitCost]]</f>
        <v>67500</v>
      </c>
      <c r="O256">
        <f>tblOrders[[#This Row],[Revenue]]-tblOrders[[#This Row],[Cost]]</f>
        <v>22500</v>
      </c>
      <c r="P256" t="str">
        <f>TEXT(tblOrders[[#This Row],[OrderDate]],"mmm")</f>
        <v>Nov</v>
      </c>
    </row>
    <row r="257" spans="1:16" x14ac:dyDescent="0.25">
      <c r="A257" t="s">
        <v>606</v>
      </c>
      <c r="B257" s="2">
        <v>45816</v>
      </c>
      <c r="C257" t="s">
        <v>103</v>
      </c>
      <c r="D257" t="s">
        <v>39</v>
      </c>
      <c r="E257" t="s">
        <v>40</v>
      </c>
      <c r="F257" t="s">
        <v>64</v>
      </c>
      <c r="G257">
        <v>8</v>
      </c>
      <c r="H257">
        <v>500</v>
      </c>
      <c r="I257">
        <v>0</v>
      </c>
      <c r="J257" t="str">
        <f>_xlfn.XLOOKUP(tblOrders[[#This Row],[ProductID]],Products!$A$2:$A$9,Products!$B$2:$B$9,"Unknown")</f>
        <v>Mouse</v>
      </c>
      <c r="K257" t="str">
        <f>_xlfn.XLOOKUP(tblOrders[[#This Row],[ProductID]],Products!$A$2:$A$9,Products!$C$2:$C$9,"Unknown")</f>
        <v>Accessories</v>
      </c>
      <c r="L257">
        <f>_xlfn.XLOOKUP(tblOrders[[#This Row],[ProductID]],Products!$A$2:$A$9,Products!$D$2:$D$9,0)</f>
        <v>320</v>
      </c>
      <c r="M257">
        <f>tblOrders[[#This Row],[Quantity]]*tblOrders[[#This Row],[UnitPrice]]*(1-tblOrders[[#This Row],[Discount]])</f>
        <v>4000</v>
      </c>
      <c r="N257">
        <f>tblOrders[[#This Row],[Quantity]]*tblOrders[[#This Row],[UnitCost]]</f>
        <v>2560</v>
      </c>
      <c r="O257">
        <f>tblOrders[[#This Row],[Revenue]]-tblOrders[[#This Row],[Cost]]</f>
        <v>1440</v>
      </c>
      <c r="P257" t="str">
        <f>TEXT(tblOrders[[#This Row],[OrderDate]],"mmm")</f>
        <v>Jun</v>
      </c>
    </row>
    <row r="258" spans="1:16" x14ac:dyDescent="0.25">
      <c r="A258" t="s">
        <v>817</v>
      </c>
      <c r="B258" s="2">
        <v>45796</v>
      </c>
      <c r="C258" t="s">
        <v>66</v>
      </c>
      <c r="D258" t="s">
        <v>11</v>
      </c>
      <c r="E258" t="s">
        <v>12</v>
      </c>
      <c r="F258" t="s">
        <v>23</v>
      </c>
      <c r="G258">
        <v>11</v>
      </c>
      <c r="H258">
        <v>900</v>
      </c>
      <c r="I258">
        <v>0</v>
      </c>
      <c r="J258" t="str">
        <f>_xlfn.XLOOKUP(tblOrders[[#This Row],[ProductID]],Products!$A$2:$A$9,Products!$B$2:$B$9,"Unknown")</f>
        <v>Keyboard</v>
      </c>
      <c r="K258" t="str">
        <f>_xlfn.XLOOKUP(tblOrders[[#This Row],[ProductID]],Products!$A$2:$A$9,Products!$C$2:$C$9,"Unknown")</f>
        <v>Accessories</v>
      </c>
      <c r="L258">
        <f>_xlfn.XLOOKUP(tblOrders[[#This Row],[ProductID]],Products!$A$2:$A$9,Products!$D$2:$D$9,0)</f>
        <v>600</v>
      </c>
      <c r="M258">
        <f>tblOrders[[#This Row],[Quantity]]*tblOrders[[#This Row],[UnitPrice]]*(1-tblOrders[[#This Row],[Discount]])</f>
        <v>9900</v>
      </c>
      <c r="N258">
        <f>tblOrders[[#This Row],[Quantity]]*tblOrders[[#This Row],[UnitCost]]</f>
        <v>6600</v>
      </c>
      <c r="O258">
        <f>tblOrders[[#This Row],[Revenue]]-tblOrders[[#This Row],[Cost]]</f>
        <v>3300</v>
      </c>
      <c r="P258" t="str">
        <f>TEXT(tblOrders[[#This Row],[OrderDate]],"mmm")</f>
        <v>May</v>
      </c>
    </row>
    <row r="259" spans="1:16" x14ac:dyDescent="0.25">
      <c r="A259" t="s">
        <v>49</v>
      </c>
      <c r="B259" s="2">
        <v>45936</v>
      </c>
      <c r="C259" t="s">
        <v>50</v>
      </c>
      <c r="D259" t="s">
        <v>39</v>
      </c>
      <c r="E259" t="s">
        <v>40</v>
      </c>
      <c r="F259" t="s">
        <v>34</v>
      </c>
      <c r="G259">
        <v>4</v>
      </c>
      <c r="H259">
        <v>55000</v>
      </c>
      <c r="I259">
        <v>0.1</v>
      </c>
      <c r="J259" t="str">
        <f>_xlfn.XLOOKUP(tblOrders[[#This Row],[ProductID]],Products!$A$2:$A$9,Products!$B$2:$B$9,"Unknown")</f>
        <v>Laptop</v>
      </c>
      <c r="K259" t="str">
        <f>_xlfn.XLOOKUP(tblOrders[[#This Row],[ProductID]],Products!$A$2:$A$9,Products!$C$2:$C$9,"Unknown")</f>
        <v>Electronics</v>
      </c>
      <c r="L259">
        <f>_xlfn.XLOOKUP(tblOrders[[#This Row],[ProductID]],Products!$A$2:$A$9,Products!$D$2:$D$9,0)</f>
        <v>41000</v>
      </c>
      <c r="M259">
        <f>tblOrders[[#This Row],[Quantity]]*tblOrders[[#This Row],[UnitPrice]]*(1-tblOrders[[#This Row],[Discount]])</f>
        <v>198000</v>
      </c>
      <c r="N259">
        <f>tblOrders[[#This Row],[Quantity]]*tblOrders[[#This Row],[UnitCost]]</f>
        <v>164000</v>
      </c>
      <c r="O259">
        <f>tblOrders[[#This Row],[Revenue]]-tblOrders[[#This Row],[Cost]]</f>
        <v>34000</v>
      </c>
      <c r="P259" t="str">
        <f>TEXT(tblOrders[[#This Row],[OrderDate]],"mmm")</f>
        <v>Oct</v>
      </c>
    </row>
    <row r="260" spans="1:16" x14ac:dyDescent="0.25">
      <c r="A260" t="s">
        <v>726</v>
      </c>
      <c r="B260" s="2">
        <v>45977</v>
      </c>
      <c r="C260" t="s">
        <v>30</v>
      </c>
      <c r="D260" t="s">
        <v>16</v>
      </c>
      <c r="E260" t="s">
        <v>17</v>
      </c>
      <c r="F260" t="s">
        <v>23</v>
      </c>
      <c r="G260">
        <v>6</v>
      </c>
      <c r="H260">
        <v>900</v>
      </c>
      <c r="I260">
        <v>0</v>
      </c>
      <c r="J260" t="str">
        <f>_xlfn.XLOOKUP(tblOrders[[#This Row],[ProductID]],Products!$A$2:$A$9,Products!$B$2:$B$9,"Unknown")</f>
        <v>Keyboard</v>
      </c>
      <c r="K260" t="str">
        <f>_xlfn.XLOOKUP(tblOrders[[#This Row],[ProductID]],Products!$A$2:$A$9,Products!$C$2:$C$9,"Unknown")</f>
        <v>Accessories</v>
      </c>
      <c r="L260">
        <f>_xlfn.XLOOKUP(tblOrders[[#This Row],[ProductID]],Products!$A$2:$A$9,Products!$D$2:$D$9,0)</f>
        <v>600</v>
      </c>
      <c r="M260">
        <f>tblOrders[[#This Row],[Quantity]]*tblOrders[[#This Row],[UnitPrice]]*(1-tblOrders[[#This Row],[Discount]])</f>
        <v>5400</v>
      </c>
      <c r="N260">
        <f>tblOrders[[#This Row],[Quantity]]*tblOrders[[#This Row],[UnitCost]]</f>
        <v>3600</v>
      </c>
      <c r="O260">
        <f>tblOrders[[#This Row],[Revenue]]-tblOrders[[#This Row],[Cost]]</f>
        <v>1800</v>
      </c>
      <c r="P260" t="str">
        <f>TEXT(tblOrders[[#This Row],[OrderDate]],"mmm")</f>
        <v>Nov</v>
      </c>
    </row>
    <row r="261" spans="1:16" x14ac:dyDescent="0.25">
      <c r="A261" t="s">
        <v>314</v>
      </c>
      <c r="B261" s="2">
        <v>45818</v>
      </c>
      <c r="C261" t="s">
        <v>121</v>
      </c>
      <c r="D261" t="s">
        <v>11</v>
      </c>
      <c r="E261" t="s">
        <v>12</v>
      </c>
      <c r="F261" t="s">
        <v>13</v>
      </c>
      <c r="G261">
        <v>11</v>
      </c>
      <c r="H261">
        <v>2000</v>
      </c>
      <c r="I261">
        <v>0</v>
      </c>
      <c r="J261" t="str">
        <f>_xlfn.XLOOKUP(tblOrders[[#This Row],[ProductID]],Products!$A$2:$A$9,Products!$B$2:$B$9,"Unknown")</f>
        <v>Headset</v>
      </c>
      <c r="K261" t="str">
        <f>_xlfn.XLOOKUP(tblOrders[[#This Row],[ProductID]],Products!$A$2:$A$9,Products!$C$2:$C$9,"Unknown")</f>
        <v>Accessories</v>
      </c>
      <c r="L261">
        <f>_xlfn.XLOOKUP(tblOrders[[#This Row],[ProductID]],Products!$A$2:$A$9,Products!$D$2:$D$9,0)</f>
        <v>1300</v>
      </c>
      <c r="M261">
        <f>tblOrders[[#This Row],[Quantity]]*tblOrders[[#This Row],[UnitPrice]]*(1-tblOrders[[#This Row],[Discount]])</f>
        <v>22000</v>
      </c>
      <c r="N261">
        <f>tblOrders[[#This Row],[Quantity]]*tblOrders[[#This Row],[UnitCost]]</f>
        <v>14300</v>
      </c>
      <c r="O261">
        <f>tblOrders[[#This Row],[Revenue]]-tblOrders[[#This Row],[Cost]]</f>
        <v>7700</v>
      </c>
      <c r="P261" t="str">
        <f>TEXT(tblOrders[[#This Row],[OrderDate]],"mmm")</f>
        <v>Jun</v>
      </c>
    </row>
    <row r="262" spans="1:16" x14ac:dyDescent="0.25">
      <c r="A262" t="s">
        <v>416</v>
      </c>
      <c r="B262" s="2">
        <v>45739</v>
      </c>
      <c r="C262" t="s">
        <v>32</v>
      </c>
      <c r="D262" t="s">
        <v>16</v>
      </c>
      <c r="E262" t="s">
        <v>33</v>
      </c>
      <c r="F262" t="s">
        <v>43</v>
      </c>
      <c r="G262">
        <v>13</v>
      </c>
      <c r="H262">
        <v>1500</v>
      </c>
      <c r="I262">
        <v>0.1</v>
      </c>
      <c r="J262" t="str">
        <f>_xlfn.XLOOKUP(tblOrders[[#This Row],[ProductID]],Products!$A$2:$A$9,Products!$B$2:$B$9,"Unknown")</f>
        <v>Webcam</v>
      </c>
      <c r="K262" t="str">
        <f>_xlfn.XLOOKUP(tblOrders[[#This Row],[ProductID]],Products!$A$2:$A$9,Products!$C$2:$C$9,"Unknown")</f>
        <v>Accessories</v>
      </c>
      <c r="L262">
        <f>_xlfn.XLOOKUP(tblOrders[[#This Row],[ProductID]],Products!$A$2:$A$9,Products!$D$2:$D$9,0)</f>
        <v>980</v>
      </c>
      <c r="M262">
        <f>tblOrders[[#This Row],[Quantity]]*tblOrders[[#This Row],[UnitPrice]]*(1-tblOrders[[#This Row],[Discount]])</f>
        <v>17550</v>
      </c>
      <c r="N262">
        <f>tblOrders[[#This Row],[Quantity]]*tblOrders[[#This Row],[UnitCost]]</f>
        <v>12740</v>
      </c>
      <c r="O262">
        <f>tblOrders[[#This Row],[Revenue]]-tblOrders[[#This Row],[Cost]]</f>
        <v>4810</v>
      </c>
      <c r="P262" t="str">
        <f>TEXT(tblOrders[[#This Row],[OrderDate]],"mmm")</f>
        <v>Mar</v>
      </c>
    </row>
    <row r="263" spans="1:16" x14ac:dyDescent="0.25">
      <c r="A263" t="s">
        <v>985</v>
      </c>
      <c r="B263" s="2">
        <v>45870</v>
      </c>
      <c r="C263" t="s">
        <v>105</v>
      </c>
      <c r="D263" t="s">
        <v>16</v>
      </c>
      <c r="E263" t="s">
        <v>33</v>
      </c>
      <c r="F263" t="s">
        <v>64</v>
      </c>
      <c r="G263">
        <v>12</v>
      </c>
      <c r="H263">
        <v>500</v>
      </c>
      <c r="I263">
        <v>0.15</v>
      </c>
      <c r="J263" t="str">
        <f>_xlfn.XLOOKUP(tblOrders[[#This Row],[ProductID]],Products!$A$2:$A$9,Products!$B$2:$B$9,"Unknown")</f>
        <v>Mouse</v>
      </c>
      <c r="K263" t="str">
        <f>_xlfn.XLOOKUP(tblOrders[[#This Row],[ProductID]],Products!$A$2:$A$9,Products!$C$2:$C$9,"Unknown")</f>
        <v>Accessories</v>
      </c>
      <c r="L263">
        <f>_xlfn.XLOOKUP(tblOrders[[#This Row],[ProductID]],Products!$A$2:$A$9,Products!$D$2:$D$9,0)</f>
        <v>320</v>
      </c>
      <c r="M263">
        <f>tblOrders[[#This Row],[Quantity]]*tblOrders[[#This Row],[UnitPrice]]*(1-tblOrders[[#This Row],[Discount]])</f>
        <v>5100</v>
      </c>
      <c r="N263">
        <f>tblOrders[[#This Row],[Quantity]]*tblOrders[[#This Row],[UnitCost]]</f>
        <v>3840</v>
      </c>
      <c r="O263">
        <f>tblOrders[[#This Row],[Revenue]]-tblOrders[[#This Row],[Cost]]</f>
        <v>1260</v>
      </c>
      <c r="P263" t="str">
        <f>TEXT(tblOrders[[#This Row],[OrderDate]],"mmm")</f>
        <v>Aug</v>
      </c>
    </row>
    <row r="264" spans="1:16" x14ac:dyDescent="0.25">
      <c r="A264" t="s">
        <v>451</v>
      </c>
      <c r="B264" s="2">
        <v>45779</v>
      </c>
      <c r="C264" t="s">
        <v>144</v>
      </c>
      <c r="D264" t="s">
        <v>11</v>
      </c>
      <c r="E264" t="s">
        <v>12</v>
      </c>
      <c r="F264" t="s">
        <v>64</v>
      </c>
      <c r="G264">
        <v>6</v>
      </c>
      <c r="H264">
        <v>500</v>
      </c>
      <c r="I264">
        <v>0.15</v>
      </c>
      <c r="J264" t="str">
        <f>_xlfn.XLOOKUP(tblOrders[[#This Row],[ProductID]],Products!$A$2:$A$9,Products!$B$2:$B$9,"Unknown")</f>
        <v>Mouse</v>
      </c>
      <c r="K264" t="str">
        <f>_xlfn.XLOOKUP(tblOrders[[#This Row],[ProductID]],Products!$A$2:$A$9,Products!$C$2:$C$9,"Unknown")</f>
        <v>Accessories</v>
      </c>
      <c r="L264">
        <f>_xlfn.XLOOKUP(tblOrders[[#This Row],[ProductID]],Products!$A$2:$A$9,Products!$D$2:$D$9,0)</f>
        <v>320</v>
      </c>
      <c r="M264">
        <f>tblOrders[[#This Row],[Quantity]]*tblOrders[[#This Row],[UnitPrice]]*(1-tblOrders[[#This Row],[Discount]])</f>
        <v>2550</v>
      </c>
      <c r="N264">
        <f>tblOrders[[#This Row],[Quantity]]*tblOrders[[#This Row],[UnitCost]]</f>
        <v>1920</v>
      </c>
      <c r="O264">
        <f>tblOrders[[#This Row],[Revenue]]-tblOrders[[#This Row],[Cost]]</f>
        <v>630</v>
      </c>
      <c r="P264" t="str">
        <f>TEXT(tblOrders[[#This Row],[OrderDate]],"mmm")</f>
        <v>May</v>
      </c>
    </row>
    <row r="265" spans="1:16" x14ac:dyDescent="0.25">
      <c r="A265" t="s">
        <v>872</v>
      </c>
      <c r="B265" s="2">
        <v>45690</v>
      </c>
      <c r="C265" t="s">
        <v>171</v>
      </c>
      <c r="D265" t="s">
        <v>21</v>
      </c>
      <c r="E265" t="s">
        <v>22</v>
      </c>
      <c r="F265" t="s">
        <v>18</v>
      </c>
      <c r="G265">
        <v>15</v>
      </c>
      <c r="H265">
        <v>18000</v>
      </c>
      <c r="I265">
        <v>0.15</v>
      </c>
      <c r="J265" t="str">
        <f>_xlfn.XLOOKUP(tblOrders[[#This Row],[ProductID]],Products!$A$2:$A$9,Products!$B$2:$B$9,"Unknown")</f>
        <v>Tablet</v>
      </c>
      <c r="K265" t="str">
        <f>_xlfn.XLOOKUP(tblOrders[[#This Row],[ProductID]],Products!$A$2:$A$9,Products!$C$2:$C$9,"Unknown")</f>
        <v>Electronics</v>
      </c>
      <c r="L265">
        <f>_xlfn.XLOOKUP(tblOrders[[#This Row],[ProductID]],Products!$A$2:$A$9,Products!$D$2:$D$9,0)</f>
        <v>13500</v>
      </c>
      <c r="M265">
        <f>tblOrders[[#This Row],[Quantity]]*tblOrders[[#This Row],[UnitPrice]]*(1-tblOrders[[#This Row],[Discount]])</f>
        <v>229500</v>
      </c>
      <c r="N265">
        <f>tblOrders[[#This Row],[Quantity]]*tblOrders[[#This Row],[UnitCost]]</f>
        <v>202500</v>
      </c>
      <c r="O265">
        <f>tblOrders[[#This Row],[Revenue]]-tblOrders[[#This Row],[Cost]]</f>
        <v>27000</v>
      </c>
      <c r="P265" t="str">
        <f>TEXT(tblOrders[[#This Row],[OrderDate]],"mmm")</f>
        <v>Feb</v>
      </c>
    </row>
    <row r="266" spans="1:16" x14ac:dyDescent="0.25">
      <c r="A266" t="s">
        <v>705</v>
      </c>
      <c r="B266" s="2">
        <v>45889</v>
      </c>
      <c r="C266" t="s">
        <v>123</v>
      </c>
      <c r="D266" t="s">
        <v>39</v>
      </c>
      <c r="E266" t="s">
        <v>76</v>
      </c>
      <c r="F266" t="s">
        <v>34</v>
      </c>
      <c r="G266">
        <v>3</v>
      </c>
      <c r="H266">
        <v>55000</v>
      </c>
      <c r="I266">
        <v>0.1</v>
      </c>
      <c r="J266" t="str">
        <f>_xlfn.XLOOKUP(tblOrders[[#This Row],[ProductID]],Products!$A$2:$A$9,Products!$B$2:$B$9,"Unknown")</f>
        <v>Laptop</v>
      </c>
      <c r="K266" t="str">
        <f>_xlfn.XLOOKUP(tblOrders[[#This Row],[ProductID]],Products!$A$2:$A$9,Products!$C$2:$C$9,"Unknown")</f>
        <v>Electronics</v>
      </c>
      <c r="L266">
        <f>_xlfn.XLOOKUP(tblOrders[[#This Row],[ProductID]],Products!$A$2:$A$9,Products!$D$2:$D$9,0)</f>
        <v>41000</v>
      </c>
      <c r="M266">
        <f>tblOrders[[#This Row],[Quantity]]*tblOrders[[#This Row],[UnitPrice]]*(1-tblOrders[[#This Row],[Discount]])</f>
        <v>148500</v>
      </c>
      <c r="N266">
        <f>tblOrders[[#This Row],[Quantity]]*tblOrders[[#This Row],[UnitCost]]</f>
        <v>123000</v>
      </c>
      <c r="O266">
        <f>tblOrders[[#This Row],[Revenue]]-tblOrders[[#This Row],[Cost]]</f>
        <v>25500</v>
      </c>
      <c r="P266" t="str">
        <f>TEXT(tblOrders[[#This Row],[OrderDate]],"mmm")</f>
        <v>Aug</v>
      </c>
    </row>
    <row r="267" spans="1:16" x14ac:dyDescent="0.25">
      <c r="A267" t="s">
        <v>763</v>
      </c>
      <c r="B267" s="2">
        <v>45904</v>
      </c>
      <c r="C267" t="s">
        <v>151</v>
      </c>
      <c r="D267" t="s">
        <v>21</v>
      </c>
      <c r="E267" t="s">
        <v>28</v>
      </c>
      <c r="F267" t="s">
        <v>64</v>
      </c>
      <c r="G267">
        <v>5</v>
      </c>
      <c r="H267">
        <v>500</v>
      </c>
      <c r="I267">
        <v>0.05</v>
      </c>
      <c r="J267" t="str">
        <f>_xlfn.XLOOKUP(tblOrders[[#This Row],[ProductID]],Products!$A$2:$A$9,Products!$B$2:$B$9,"Unknown")</f>
        <v>Mouse</v>
      </c>
      <c r="K267" t="str">
        <f>_xlfn.XLOOKUP(tblOrders[[#This Row],[ProductID]],Products!$A$2:$A$9,Products!$C$2:$C$9,"Unknown")</f>
        <v>Accessories</v>
      </c>
      <c r="L267">
        <f>_xlfn.XLOOKUP(tblOrders[[#This Row],[ProductID]],Products!$A$2:$A$9,Products!$D$2:$D$9,0)</f>
        <v>320</v>
      </c>
      <c r="M267">
        <f>tblOrders[[#This Row],[Quantity]]*tblOrders[[#This Row],[UnitPrice]]*(1-tblOrders[[#This Row],[Discount]])</f>
        <v>2375</v>
      </c>
      <c r="N267">
        <f>tblOrders[[#This Row],[Quantity]]*tblOrders[[#This Row],[UnitCost]]</f>
        <v>1600</v>
      </c>
      <c r="O267">
        <f>tblOrders[[#This Row],[Revenue]]-tblOrders[[#This Row],[Cost]]</f>
        <v>775</v>
      </c>
      <c r="P267" t="str">
        <f>TEXT(tblOrders[[#This Row],[OrderDate]],"mmm")</f>
        <v>Sep</v>
      </c>
    </row>
    <row r="268" spans="1:16" x14ac:dyDescent="0.25">
      <c r="A268" t="s">
        <v>676</v>
      </c>
      <c r="B268" s="2">
        <v>45787</v>
      </c>
      <c r="C268" t="s">
        <v>27</v>
      </c>
      <c r="D268" t="s">
        <v>16</v>
      </c>
      <c r="E268" t="s">
        <v>17</v>
      </c>
      <c r="F268" t="s">
        <v>64</v>
      </c>
      <c r="G268">
        <v>12</v>
      </c>
      <c r="H268">
        <v>500</v>
      </c>
      <c r="I268">
        <v>0.15</v>
      </c>
      <c r="J268" t="str">
        <f>_xlfn.XLOOKUP(tblOrders[[#This Row],[ProductID]],Products!$A$2:$A$9,Products!$B$2:$B$9,"Unknown")</f>
        <v>Mouse</v>
      </c>
      <c r="K268" t="str">
        <f>_xlfn.XLOOKUP(tblOrders[[#This Row],[ProductID]],Products!$A$2:$A$9,Products!$C$2:$C$9,"Unknown")</f>
        <v>Accessories</v>
      </c>
      <c r="L268">
        <f>_xlfn.XLOOKUP(tblOrders[[#This Row],[ProductID]],Products!$A$2:$A$9,Products!$D$2:$D$9,0)</f>
        <v>320</v>
      </c>
      <c r="M268">
        <f>tblOrders[[#This Row],[Quantity]]*tblOrders[[#This Row],[UnitPrice]]*(1-tblOrders[[#This Row],[Discount]])</f>
        <v>5100</v>
      </c>
      <c r="N268">
        <f>tblOrders[[#This Row],[Quantity]]*tblOrders[[#This Row],[UnitCost]]</f>
        <v>3840</v>
      </c>
      <c r="O268">
        <f>tblOrders[[#This Row],[Revenue]]-tblOrders[[#This Row],[Cost]]</f>
        <v>1260</v>
      </c>
      <c r="P268" t="str">
        <f>TEXT(tblOrders[[#This Row],[OrderDate]],"mmm")</f>
        <v>May</v>
      </c>
    </row>
    <row r="269" spans="1:16" x14ac:dyDescent="0.25">
      <c r="A269" t="s">
        <v>1063</v>
      </c>
      <c r="B269" s="2">
        <v>45828</v>
      </c>
      <c r="C269" t="s">
        <v>52</v>
      </c>
      <c r="D269" t="s">
        <v>11</v>
      </c>
      <c r="E269" t="s">
        <v>12</v>
      </c>
      <c r="F269" t="s">
        <v>69</v>
      </c>
      <c r="G269">
        <v>10</v>
      </c>
      <c r="H269">
        <v>12000</v>
      </c>
      <c r="I269">
        <v>0.05</v>
      </c>
      <c r="J269" t="str">
        <f>_xlfn.XLOOKUP(tblOrders[[#This Row],[ProductID]],Products!$A$2:$A$9,Products!$B$2:$B$9,"Unknown")</f>
        <v>Monitor</v>
      </c>
      <c r="K269" t="str">
        <f>_xlfn.XLOOKUP(tblOrders[[#This Row],[ProductID]],Products!$A$2:$A$9,Products!$C$2:$C$9,"Unknown")</f>
        <v>Electronics</v>
      </c>
      <c r="L269">
        <f>_xlfn.XLOOKUP(tblOrders[[#This Row],[ProductID]],Products!$A$2:$A$9,Products!$D$2:$D$9,0)</f>
        <v>9000</v>
      </c>
      <c r="M269">
        <f>tblOrders[[#This Row],[Quantity]]*tblOrders[[#This Row],[UnitPrice]]*(1-tblOrders[[#This Row],[Discount]])</f>
        <v>114000</v>
      </c>
      <c r="N269">
        <f>tblOrders[[#This Row],[Quantity]]*tblOrders[[#This Row],[UnitCost]]</f>
        <v>90000</v>
      </c>
      <c r="O269">
        <f>tblOrders[[#This Row],[Revenue]]-tblOrders[[#This Row],[Cost]]</f>
        <v>24000</v>
      </c>
      <c r="P269" t="str">
        <f>TEXT(tblOrders[[#This Row],[OrderDate]],"mmm")</f>
        <v>Jun</v>
      </c>
    </row>
    <row r="270" spans="1:16" x14ac:dyDescent="0.25">
      <c r="A270" t="s">
        <v>627</v>
      </c>
      <c r="B270" s="2">
        <v>45976</v>
      </c>
      <c r="C270" t="s">
        <v>175</v>
      </c>
      <c r="D270" t="s">
        <v>16</v>
      </c>
      <c r="E270" t="s">
        <v>33</v>
      </c>
      <c r="F270" t="s">
        <v>69</v>
      </c>
      <c r="G270">
        <v>3</v>
      </c>
      <c r="H270">
        <v>12000</v>
      </c>
      <c r="I270">
        <v>0</v>
      </c>
      <c r="J270" t="str">
        <f>_xlfn.XLOOKUP(tblOrders[[#This Row],[ProductID]],Products!$A$2:$A$9,Products!$B$2:$B$9,"Unknown")</f>
        <v>Monitor</v>
      </c>
      <c r="K270" t="str">
        <f>_xlfn.XLOOKUP(tblOrders[[#This Row],[ProductID]],Products!$A$2:$A$9,Products!$C$2:$C$9,"Unknown")</f>
        <v>Electronics</v>
      </c>
      <c r="L270">
        <f>_xlfn.XLOOKUP(tblOrders[[#This Row],[ProductID]],Products!$A$2:$A$9,Products!$D$2:$D$9,0)</f>
        <v>9000</v>
      </c>
      <c r="M270">
        <f>tblOrders[[#This Row],[Quantity]]*tblOrders[[#This Row],[UnitPrice]]*(1-tblOrders[[#This Row],[Discount]])</f>
        <v>36000</v>
      </c>
      <c r="N270">
        <f>tblOrders[[#This Row],[Quantity]]*tblOrders[[#This Row],[UnitCost]]</f>
        <v>27000</v>
      </c>
      <c r="O270">
        <f>tblOrders[[#This Row],[Revenue]]-tblOrders[[#This Row],[Cost]]</f>
        <v>9000</v>
      </c>
      <c r="P270" t="str">
        <f>TEXT(tblOrders[[#This Row],[OrderDate]],"mmm")</f>
        <v>Nov</v>
      </c>
    </row>
    <row r="271" spans="1:16" x14ac:dyDescent="0.25">
      <c r="A271" t="s">
        <v>877</v>
      </c>
      <c r="B271" s="2">
        <v>45776</v>
      </c>
      <c r="C271" t="s">
        <v>115</v>
      </c>
      <c r="D271" t="s">
        <v>11</v>
      </c>
      <c r="E271" t="s">
        <v>12</v>
      </c>
      <c r="F271" t="s">
        <v>34</v>
      </c>
      <c r="G271">
        <v>8</v>
      </c>
      <c r="H271">
        <v>55000</v>
      </c>
      <c r="I271">
        <v>0.1</v>
      </c>
      <c r="J271" t="str">
        <f>_xlfn.XLOOKUP(tblOrders[[#This Row],[ProductID]],Products!$A$2:$A$9,Products!$B$2:$B$9,"Unknown")</f>
        <v>Laptop</v>
      </c>
      <c r="K271" t="str">
        <f>_xlfn.XLOOKUP(tblOrders[[#This Row],[ProductID]],Products!$A$2:$A$9,Products!$C$2:$C$9,"Unknown")</f>
        <v>Electronics</v>
      </c>
      <c r="L271">
        <f>_xlfn.XLOOKUP(tblOrders[[#This Row],[ProductID]],Products!$A$2:$A$9,Products!$D$2:$D$9,0)</f>
        <v>41000</v>
      </c>
      <c r="M271">
        <f>tblOrders[[#This Row],[Quantity]]*tblOrders[[#This Row],[UnitPrice]]*(1-tblOrders[[#This Row],[Discount]])</f>
        <v>396000</v>
      </c>
      <c r="N271">
        <f>tblOrders[[#This Row],[Quantity]]*tblOrders[[#This Row],[UnitCost]]</f>
        <v>328000</v>
      </c>
      <c r="O271">
        <f>tblOrders[[#This Row],[Revenue]]-tblOrders[[#This Row],[Cost]]</f>
        <v>68000</v>
      </c>
      <c r="P271" t="str">
        <f>TEXT(tblOrders[[#This Row],[OrderDate]],"mmm")</f>
        <v>Apr</v>
      </c>
    </row>
    <row r="272" spans="1:16" x14ac:dyDescent="0.25">
      <c r="A272" t="s">
        <v>408</v>
      </c>
      <c r="B272" s="2">
        <v>45795</v>
      </c>
      <c r="C272" t="s">
        <v>207</v>
      </c>
      <c r="D272" t="s">
        <v>16</v>
      </c>
      <c r="E272" t="s">
        <v>33</v>
      </c>
      <c r="F272" t="s">
        <v>13</v>
      </c>
      <c r="G272">
        <v>5</v>
      </c>
      <c r="H272">
        <v>2000</v>
      </c>
      <c r="I272">
        <v>0.15</v>
      </c>
      <c r="J272" t="str">
        <f>_xlfn.XLOOKUP(tblOrders[[#This Row],[ProductID]],Products!$A$2:$A$9,Products!$B$2:$B$9,"Unknown")</f>
        <v>Headset</v>
      </c>
      <c r="K272" t="str">
        <f>_xlfn.XLOOKUP(tblOrders[[#This Row],[ProductID]],Products!$A$2:$A$9,Products!$C$2:$C$9,"Unknown")</f>
        <v>Accessories</v>
      </c>
      <c r="L272">
        <f>_xlfn.XLOOKUP(tblOrders[[#This Row],[ProductID]],Products!$A$2:$A$9,Products!$D$2:$D$9,0)</f>
        <v>1300</v>
      </c>
      <c r="M272">
        <f>tblOrders[[#This Row],[Quantity]]*tblOrders[[#This Row],[UnitPrice]]*(1-tblOrders[[#This Row],[Discount]])</f>
        <v>8500</v>
      </c>
      <c r="N272">
        <f>tblOrders[[#This Row],[Quantity]]*tblOrders[[#This Row],[UnitCost]]</f>
        <v>6500</v>
      </c>
      <c r="O272">
        <f>tblOrders[[#This Row],[Revenue]]-tblOrders[[#This Row],[Cost]]</f>
        <v>2000</v>
      </c>
      <c r="P272" t="str">
        <f>TEXT(tblOrders[[#This Row],[OrderDate]],"mmm")</f>
        <v>May</v>
      </c>
    </row>
    <row r="273" spans="1:16" x14ac:dyDescent="0.25">
      <c r="A273" t="s">
        <v>932</v>
      </c>
      <c r="B273" s="2">
        <v>45855</v>
      </c>
      <c r="C273" t="s">
        <v>261</v>
      </c>
      <c r="D273" t="s">
        <v>11</v>
      </c>
      <c r="E273" t="s">
        <v>12</v>
      </c>
      <c r="F273" t="s">
        <v>34</v>
      </c>
      <c r="G273">
        <v>3</v>
      </c>
      <c r="H273">
        <v>55000</v>
      </c>
      <c r="I273">
        <v>0.15</v>
      </c>
      <c r="J273" t="str">
        <f>_xlfn.XLOOKUP(tblOrders[[#This Row],[ProductID]],Products!$A$2:$A$9,Products!$B$2:$B$9,"Unknown")</f>
        <v>Laptop</v>
      </c>
      <c r="K273" t="str">
        <f>_xlfn.XLOOKUP(tblOrders[[#This Row],[ProductID]],Products!$A$2:$A$9,Products!$C$2:$C$9,"Unknown")</f>
        <v>Electronics</v>
      </c>
      <c r="L273">
        <f>_xlfn.XLOOKUP(tblOrders[[#This Row],[ProductID]],Products!$A$2:$A$9,Products!$D$2:$D$9,0)</f>
        <v>41000</v>
      </c>
      <c r="M273">
        <f>tblOrders[[#This Row],[Quantity]]*tblOrders[[#This Row],[UnitPrice]]*(1-tblOrders[[#This Row],[Discount]])</f>
        <v>140250</v>
      </c>
      <c r="N273">
        <f>tblOrders[[#This Row],[Quantity]]*tblOrders[[#This Row],[UnitCost]]</f>
        <v>123000</v>
      </c>
      <c r="O273">
        <f>tblOrders[[#This Row],[Revenue]]-tblOrders[[#This Row],[Cost]]</f>
        <v>17250</v>
      </c>
      <c r="P273" t="str">
        <f>TEXT(tblOrders[[#This Row],[OrderDate]],"mmm")</f>
        <v>Jul</v>
      </c>
    </row>
    <row r="274" spans="1:16" x14ac:dyDescent="0.25">
      <c r="A274" t="s">
        <v>1013</v>
      </c>
      <c r="B274" s="2">
        <v>45757</v>
      </c>
      <c r="C274" t="s">
        <v>63</v>
      </c>
      <c r="D274" t="s">
        <v>16</v>
      </c>
      <c r="E274" t="s">
        <v>17</v>
      </c>
      <c r="F274" t="s">
        <v>64</v>
      </c>
      <c r="G274">
        <v>12</v>
      </c>
      <c r="H274">
        <v>500</v>
      </c>
      <c r="I274">
        <v>0.1</v>
      </c>
      <c r="J274" t="str">
        <f>_xlfn.XLOOKUP(tblOrders[[#This Row],[ProductID]],Products!$A$2:$A$9,Products!$B$2:$B$9,"Unknown")</f>
        <v>Mouse</v>
      </c>
      <c r="K274" t="str">
        <f>_xlfn.XLOOKUP(tblOrders[[#This Row],[ProductID]],Products!$A$2:$A$9,Products!$C$2:$C$9,"Unknown")</f>
        <v>Accessories</v>
      </c>
      <c r="L274">
        <f>_xlfn.XLOOKUP(tblOrders[[#This Row],[ProductID]],Products!$A$2:$A$9,Products!$D$2:$D$9,0)</f>
        <v>320</v>
      </c>
      <c r="M274">
        <f>tblOrders[[#This Row],[Quantity]]*tblOrders[[#This Row],[UnitPrice]]*(1-tblOrders[[#This Row],[Discount]])</f>
        <v>5400</v>
      </c>
      <c r="N274">
        <f>tblOrders[[#This Row],[Quantity]]*tblOrders[[#This Row],[UnitCost]]</f>
        <v>3840</v>
      </c>
      <c r="O274">
        <f>tblOrders[[#This Row],[Revenue]]-tblOrders[[#This Row],[Cost]]</f>
        <v>1560</v>
      </c>
      <c r="P274" t="str">
        <f>TEXT(tblOrders[[#This Row],[OrderDate]],"mmm")</f>
        <v>Apr</v>
      </c>
    </row>
    <row r="275" spans="1:16" x14ac:dyDescent="0.25">
      <c r="A275" t="s">
        <v>47</v>
      </c>
      <c r="B275" s="2">
        <v>45865</v>
      </c>
      <c r="C275" t="s">
        <v>48</v>
      </c>
      <c r="D275" t="s">
        <v>16</v>
      </c>
      <c r="E275" t="s">
        <v>33</v>
      </c>
      <c r="F275" t="s">
        <v>34</v>
      </c>
      <c r="G275">
        <v>14</v>
      </c>
      <c r="H275">
        <v>55000</v>
      </c>
      <c r="I275">
        <v>0.1</v>
      </c>
      <c r="J275" t="str">
        <f>_xlfn.XLOOKUP(tblOrders[[#This Row],[ProductID]],Products!$A$2:$A$9,Products!$B$2:$B$9,"Unknown")</f>
        <v>Laptop</v>
      </c>
      <c r="K275" t="str">
        <f>_xlfn.XLOOKUP(tblOrders[[#This Row],[ProductID]],Products!$A$2:$A$9,Products!$C$2:$C$9,"Unknown")</f>
        <v>Electronics</v>
      </c>
      <c r="L275">
        <f>_xlfn.XLOOKUP(tblOrders[[#This Row],[ProductID]],Products!$A$2:$A$9,Products!$D$2:$D$9,0)</f>
        <v>41000</v>
      </c>
      <c r="M275">
        <f>tblOrders[[#This Row],[Quantity]]*tblOrders[[#This Row],[UnitPrice]]*(1-tblOrders[[#This Row],[Discount]])</f>
        <v>693000</v>
      </c>
      <c r="N275">
        <f>tblOrders[[#This Row],[Quantity]]*tblOrders[[#This Row],[UnitCost]]</f>
        <v>574000</v>
      </c>
      <c r="O275">
        <f>tblOrders[[#This Row],[Revenue]]-tblOrders[[#This Row],[Cost]]</f>
        <v>119000</v>
      </c>
      <c r="P275" t="str">
        <f>TEXT(tblOrders[[#This Row],[OrderDate]],"mmm")</f>
        <v>Jul</v>
      </c>
    </row>
    <row r="276" spans="1:16" x14ac:dyDescent="0.25">
      <c r="A276" t="s">
        <v>1046</v>
      </c>
      <c r="B276" s="2">
        <v>45745</v>
      </c>
      <c r="C276" t="s">
        <v>63</v>
      </c>
      <c r="D276" t="s">
        <v>16</v>
      </c>
      <c r="E276" t="s">
        <v>33</v>
      </c>
      <c r="F276" t="s">
        <v>18</v>
      </c>
      <c r="G276">
        <v>5</v>
      </c>
      <c r="H276">
        <v>18000</v>
      </c>
      <c r="I276">
        <v>0.05</v>
      </c>
      <c r="J276" t="str">
        <f>_xlfn.XLOOKUP(tblOrders[[#This Row],[ProductID]],Products!$A$2:$A$9,Products!$B$2:$B$9,"Unknown")</f>
        <v>Tablet</v>
      </c>
      <c r="K276" t="str">
        <f>_xlfn.XLOOKUP(tblOrders[[#This Row],[ProductID]],Products!$A$2:$A$9,Products!$C$2:$C$9,"Unknown")</f>
        <v>Electronics</v>
      </c>
      <c r="L276">
        <f>_xlfn.XLOOKUP(tblOrders[[#This Row],[ProductID]],Products!$A$2:$A$9,Products!$D$2:$D$9,0)</f>
        <v>13500</v>
      </c>
      <c r="M276">
        <f>tblOrders[[#This Row],[Quantity]]*tblOrders[[#This Row],[UnitPrice]]*(1-tblOrders[[#This Row],[Discount]])</f>
        <v>85500</v>
      </c>
      <c r="N276">
        <f>tblOrders[[#This Row],[Quantity]]*tblOrders[[#This Row],[UnitCost]]</f>
        <v>67500</v>
      </c>
      <c r="O276">
        <f>tblOrders[[#This Row],[Revenue]]-tblOrders[[#This Row],[Cost]]</f>
        <v>18000</v>
      </c>
      <c r="P276" t="str">
        <f>TEXT(tblOrders[[#This Row],[OrderDate]],"mmm")</f>
        <v>Mar</v>
      </c>
    </row>
    <row r="277" spans="1:16" x14ac:dyDescent="0.25">
      <c r="A277" t="s">
        <v>93</v>
      </c>
      <c r="B277" s="2">
        <v>45772</v>
      </c>
      <c r="C277" t="s">
        <v>71</v>
      </c>
      <c r="D277" t="s">
        <v>39</v>
      </c>
      <c r="E277" t="s">
        <v>76</v>
      </c>
      <c r="F277" t="s">
        <v>13</v>
      </c>
      <c r="G277">
        <v>13</v>
      </c>
      <c r="H277">
        <v>2000</v>
      </c>
      <c r="I277">
        <v>0</v>
      </c>
      <c r="J277" t="str">
        <f>_xlfn.XLOOKUP(tblOrders[[#This Row],[ProductID]],Products!$A$2:$A$9,Products!$B$2:$B$9,"Unknown")</f>
        <v>Headset</v>
      </c>
      <c r="K277" t="str">
        <f>_xlfn.XLOOKUP(tblOrders[[#This Row],[ProductID]],Products!$A$2:$A$9,Products!$C$2:$C$9,"Unknown")</f>
        <v>Accessories</v>
      </c>
      <c r="L277">
        <f>_xlfn.XLOOKUP(tblOrders[[#This Row],[ProductID]],Products!$A$2:$A$9,Products!$D$2:$D$9,0)</f>
        <v>1300</v>
      </c>
      <c r="M277">
        <f>tblOrders[[#This Row],[Quantity]]*tblOrders[[#This Row],[UnitPrice]]*(1-tblOrders[[#This Row],[Discount]])</f>
        <v>26000</v>
      </c>
      <c r="N277">
        <f>tblOrders[[#This Row],[Quantity]]*tblOrders[[#This Row],[UnitCost]]</f>
        <v>16900</v>
      </c>
      <c r="O277">
        <f>tblOrders[[#This Row],[Revenue]]-tblOrders[[#This Row],[Cost]]</f>
        <v>9100</v>
      </c>
      <c r="P277" t="str">
        <f>TEXT(tblOrders[[#This Row],[OrderDate]],"mmm")</f>
        <v>Apr</v>
      </c>
    </row>
    <row r="278" spans="1:16" x14ac:dyDescent="0.25">
      <c r="A278" t="s">
        <v>327</v>
      </c>
      <c r="B278" s="2">
        <v>46003</v>
      </c>
      <c r="C278" t="s">
        <v>59</v>
      </c>
      <c r="D278" t="s">
        <v>11</v>
      </c>
      <c r="E278" t="s">
        <v>12</v>
      </c>
      <c r="F278" t="s">
        <v>23</v>
      </c>
      <c r="G278">
        <v>13</v>
      </c>
      <c r="H278">
        <v>900</v>
      </c>
      <c r="I278">
        <v>0</v>
      </c>
      <c r="J278" t="str">
        <f>_xlfn.XLOOKUP(tblOrders[[#This Row],[ProductID]],Products!$A$2:$A$9,Products!$B$2:$B$9,"Unknown")</f>
        <v>Keyboard</v>
      </c>
      <c r="K278" t="str">
        <f>_xlfn.XLOOKUP(tblOrders[[#This Row],[ProductID]],Products!$A$2:$A$9,Products!$C$2:$C$9,"Unknown")</f>
        <v>Accessories</v>
      </c>
      <c r="L278">
        <f>_xlfn.XLOOKUP(tblOrders[[#This Row],[ProductID]],Products!$A$2:$A$9,Products!$D$2:$D$9,0)</f>
        <v>600</v>
      </c>
      <c r="M278">
        <f>tblOrders[[#This Row],[Quantity]]*tblOrders[[#This Row],[UnitPrice]]*(1-tblOrders[[#This Row],[Discount]])</f>
        <v>11700</v>
      </c>
      <c r="N278">
        <f>tblOrders[[#This Row],[Quantity]]*tblOrders[[#This Row],[UnitCost]]</f>
        <v>7800</v>
      </c>
      <c r="O278">
        <f>tblOrders[[#This Row],[Revenue]]-tblOrders[[#This Row],[Cost]]</f>
        <v>3900</v>
      </c>
      <c r="P278" t="str">
        <f>TEXT(tblOrders[[#This Row],[OrderDate]],"mmm")</f>
        <v>Dec</v>
      </c>
    </row>
    <row r="279" spans="1:16" x14ac:dyDescent="0.25">
      <c r="A279" t="s">
        <v>819</v>
      </c>
      <c r="B279" s="2">
        <v>45712</v>
      </c>
      <c r="C279" t="s">
        <v>103</v>
      </c>
      <c r="D279" t="s">
        <v>16</v>
      </c>
      <c r="E279" t="s">
        <v>33</v>
      </c>
      <c r="F279" t="s">
        <v>43</v>
      </c>
      <c r="G279">
        <v>7</v>
      </c>
      <c r="H279">
        <v>1500</v>
      </c>
      <c r="I279">
        <v>0</v>
      </c>
      <c r="J279" t="str">
        <f>_xlfn.XLOOKUP(tblOrders[[#This Row],[ProductID]],Products!$A$2:$A$9,Products!$B$2:$B$9,"Unknown")</f>
        <v>Webcam</v>
      </c>
      <c r="K279" t="str">
        <f>_xlfn.XLOOKUP(tblOrders[[#This Row],[ProductID]],Products!$A$2:$A$9,Products!$C$2:$C$9,"Unknown")</f>
        <v>Accessories</v>
      </c>
      <c r="L279">
        <f>_xlfn.XLOOKUP(tblOrders[[#This Row],[ProductID]],Products!$A$2:$A$9,Products!$D$2:$D$9,0)</f>
        <v>980</v>
      </c>
      <c r="M279">
        <f>tblOrders[[#This Row],[Quantity]]*tblOrders[[#This Row],[UnitPrice]]*(1-tblOrders[[#This Row],[Discount]])</f>
        <v>10500</v>
      </c>
      <c r="N279">
        <f>tblOrders[[#This Row],[Quantity]]*tblOrders[[#This Row],[UnitCost]]</f>
        <v>6860</v>
      </c>
      <c r="O279">
        <f>tblOrders[[#This Row],[Revenue]]-tblOrders[[#This Row],[Cost]]</f>
        <v>3640</v>
      </c>
      <c r="P279" t="str">
        <f>TEXT(tblOrders[[#This Row],[OrderDate]],"mmm")</f>
        <v>Feb</v>
      </c>
    </row>
    <row r="280" spans="1:16" x14ac:dyDescent="0.25">
      <c r="A280" t="s">
        <v>504</v>
      </c>
      <c r="B280" s="2">
        <v>45667</v>
      </c>
      <c r="C280" t="s">
        <v>15</v>
      </c>
      <c r="D280" t="s">
        <v>16</v>
      </c>
      <c r="E280" t="s">
        <v>33</v>
      </c>
      <c r="F280" t="s">
        <v>69</v>
      </c>
      <c r="G280">
        <v>5</v>
      </c>
      <c r="H280">
        <v>12000</v>
      </c>
      <c r="I280">
        <v>0.15</v>
      </c>
      <c r="J280" t="str">
        <f>_xlfn.XLOOKUP(tblOrders[[#This Row],[ProductID]],Products!$A$2:$A$9,Products!$B$2:$B$9,"Unknown")</f>
        <v>Monitor</v>
      </c>
      <c r="K280" t="str">
        <f>_xlfn.XLOOKUP(tblOrders[[#This Row],[ProductID]],Products!$A$2:$A$9,Products!$C$2:$C$9,"Unknown")</f>
        <v>Electronics</v>
      </c>
      <c r="L280">
        <f>_xlfn.XLOOKUP(tblOrders[[#This Row],[ProductID]],Products!$A$2:$A$9,Products!$D$2:$D$9,0)</f>
        <v>9000</v>
      </c>
      <c r="M280">
        <f>tblOrders[[#This Row],[Quantity]]*tblOrders[[#This Row],[UnitPrice]]*(1-tblOrders[[#This Row],[Discount]])</f>
        <v>51000</v>
      </c>
      <c r="N280">
        <f>tblOrders[[#This Row],[Quantity]]*tblOrders[[#This Row],[UnitCost]]</f>
        <v>45000</v>
      </c>
      <c r="O280">
        <f>tblOrders[[#This Row],[Revenue]]-tblOrders[[#This Row],[Cost]]</f>
        <v>6000</v>
      </c>
      <c r="P280" t="str">
        <f>TEXT(tblOrders[[#This Row],[OrderDate]],"mmm")</f>
        <v>Jan</v>
      </c>
    </row>
    <row r="281" spans="1:16" x14ac:dyDescent="0.25">
      <c r="A281" t="s">
        <v>917</v>
      </c>
      <c r="B281" s="2">
        <v>45822</v>
      </c>
      <c r="C281" t="s">
        <v>162</v>
      </c>
      <c r="D281" t="s">
        <v>11</v>
      </c>
      <c r="E281" t="s">
        <v>46</v>
      </c>
      <c r="F281" t="s">
        <v>18</v>
      </c>
      <c r="G281">
        <v>8</v>
      </c>
      <c r="H281">
        <v>18000</v>
      </c>
      <c r="I281">
        <v>0</v>
      </c>
      <c r="J281" t="str">
        <f>_xlfn.XLOOKUP(tblOrders[[#This Row],[ProductID]],Products!$A$2:$A$9,Products!$B$2:$B$9,"Unknown")</f>
        <v>Tablet</v>
      </c>
      <c r="K281" t="str">
        <f>_xlfn.XLOOKUP(tblOrders[[#This Row],[ProductID]],Products!$A$2:$A$9,Products!$C$2:$C$9,"Unknown")</f>
        <v>Electronics</v>
      </c>
      <c r="L281">
        <f>_xlfn.XLOOKUP(tblOrders[[#This Row],[ProductID]],Products!$A$2:$A$9,Products!$D$2:$D$9,0)</f>
        <v>13500</v>
      </c>
      <c r="M281">
        <f>tblOrders[[#This Row],[Quantity]]*tblOrders[[#This Row],[UnitPrice]]*(1-tblOrders[[#This Row],[Discount]])</f>
        <v>144000</v>
      </c>
      <c r="N281">
        <f>tblOrders[[#This Row],[Quantity]]*tblOrders[[#This Row],[UnitCost]]</f>
        <v>108000</v>
      </c>
      <c r="O281">
        <f>tblOrders[[#This Row],[Revenue]]-tblOrders[[#This Row],[Cost]]</f>
        <v>36000</v>
      </c>
      <c r="P281" t="str">
        <f>TEXT(tblOrders[[#This Row],[OrderDate]],"mmm")</f>
        <v>Jun</v>
      </c>
    </row>
    <row r="282" spans="1:16" x14ac:dyDescent="0.25">
      <c r="A282" t="s">
        <v>885</v>
      </c>
      <c r="B282" s="2">
        <v>45944</v>
      </c>
      <c r="C282" t="s">
        <v>73</v>
      </c>
      <c r="D282" t="s">
        <v>21</v>
      </c>
      <c r="E282" t="s">
        <v>28</v>
      </c>
      <c r="F282" t="s">
        <v>69</v>
      </c>
      <c r="G282">
        <v>2</v>
      </c>
      <c r="H282">
        <v>12000</v>
      </c>
      <c r="I282">
        <v>0</v>
      </c>
      <c r="J282" t="str">
        <f>_xlfn.XLOOKUP(tblOrders[[#This Row],[ProductID]],Products!$A$2:$A$9,Products!$B$2:$B$9,"Unknown")</f>
        <v>Monitor</v>
      </c>
      <c r="K282" t="str">
        <f>_xlfn.XLOOKUP(tblOrders[[#This Row],[ProductID]],Products!$A$2:$A$9,Products!$C$2:$C$9,"Unknown")</f>
        <v>Electronics</v>
      </c>
      <c r="L282">
        <f>_xlfn.XLOOKUP(tblOrders[[#This Row],[ProductID]],Products!$A$2:$A$9,Products!$D$2:$D$9,0)</f>
        <v>9000</v>
      </c>
      <c r="M282">
        <f>tblOrders[[#This Row],[Quantity]]*tblOrders[[#This Row],[UnitPrice]]*(1-tblOrders[[#This Row],[Discount]])</f>
        <v>24000</v>
      </c>
      <c r="N282">
        <f>tblOrders[[#This Row],[Quantity]]*tblOrders[[#This Row],[UnitCost]]</f>
        <v>18000</v>
      </c>
      <c r="O282">
        <f>tblOrders[[#This Row],[Revenue]]-tblOrders[[#This Row],[Cost]]</f>
        <v>6000</v>
      </c>
      <c r="P282" t="str">
        <f>TEXT(tblOrders[[#This Row],[OrderDate]],"mmm")</f>
        <v>Oct</v>
      </c>
    </row>
    <row r="283" spans="1:16" x14ac:dyDescent="0.25">
      <c r="A283" t="s">
        <v>602</v>
      </c>
      <c r="B283" s="2">
        <v>46001</v>
      </c>
      <c r="C283" t="s">
        <v>45</v>
      </c>
      <c r="D283" t="s">
        <v>21</v>
      </c>
      <c r="E283" t="s">
        <v>22</v>
      </c>
      <c r="F283" t="s">
        <v>34</v>
      </c>
      <c r="G283">
        <v>3</v>
      </c>
      <c r="H283">
        <v>55000</v>
      </c>
      <c r="I283">
        <v>0</v>
      </c>
      <c r="J283" t="str">
        <f>_xlfn.XLOOKUP(tblOrders[[#This Row],[ProductID]],Products!$A$2:$A$9,Products!$B$2:$B$9,"Unknown")</f>
        <v>Laptop</v>
      </c>
      <c r="K283" t="str">
        <f>_xlfn.XLOOKUP(tblOrders[[#This Row],[ProductID]],Products!$A$2:$A$9,Products!$C$2:$C$9,"Unknown")</f>
        <v>Electronics</v>
      </c>
      <c r="L283">
        <f>_xlfn.XLOOKUP(tblOrders[[#This Row],[ProductID]],Products!$A$2:$A$9,Products!$D$2:$D$9,0)</f>
        <v>41000</v>
      </c>
      <c r="M283">
        <f>tblOrders[[#This Row],[Quantity]]*tblOrders[[#This Row],[UnitPrice]]*(1-tblOrders[[#This Row],[Discount]])</f>
        <v>165000</v>
      </c>
      <c r="N283">
        <f>tblOrders[[#This Row],[Quantity]]*tblOrders[[#This Row],[UnitCost]]</f>
        <v>123000</v>
      </c>
      <c r="O283">
        <f>tblOrders[[#This Row],[Revenue]]-tblOrders[[#This Row],[Cost]]</f>
        <v>42000</v>
      </c>
      <c r="P283" t="str">
        <f>TEXT(tblOrders[[#This Row],[OrderDate]],"mmm")</f>
        <v>Dec</v>
      </c>
    </row>
    <row r="284" spans="1:16" x14ac:dyDescent="0.25">
      <c r="A284" t="s">
        <v>823</v>
      </c>
      <c r="B284" s="2">
        <v>45761</v>
      </c>
      <c r="C284" t="s">
        <v>117</v>
      </c>
      <c r="D284" t="s">
        <v>39</v>
      </c>
      <c r="E284" t="s">
        <v>76</v>
      </c>
      <c r="F284" t="s">
        <v>43</v>
      </c>
      <c r="G284">
        <v>1</v>
      </c>
      <c r="H284">
        <v>1500</v>
      </c>
      <c r="I284">
        <v>0.05</v>
      </c>
      <c r="J284" t="str">
        <f>_xlfn.XLOOKUP(tblOrders[[#This Row],[ProductID]],Products!$A$2:$A$9,Products!$B$2:$B$9,"Unknown")</f>
        <v>Webcam</v>
      </c>
      <c r="K284" t="str">
        <f>_xlfn.XLOOKUP(tblOrders[[#This Row],[ProductID]],Products!$A$2:$A$9,Products!$C$2:$C$9,"Unknown")</f>
        <v>Accessories</v>
      </c>
      <c r="L284">
        <f>_xlfn.XLOOKUP(tblOrders[[#This Row],[ProductID]],Products!$A$2:$A$9,Products!$D$2:$D$9,0)</f>
        <v>980</v>
      </c>
      <c r="M284">
        <f>tblOrders[[#This Row],[Quantity]]*tblOrders[[#This Row],[UnitPrice]]*(1-tblOrders[[#This Row],[Discount]])</f>
        <v>1425</v>
      </c>
      <c r="N284">
        <f>tblOrders[[#This Row],[Quantity]]*tblOrders[[#This Row],[UnitCost]]</f>
        <v>980</v>
      </c>
      <c r="O284">
        <f>tblOrders[[#This Row],[Revenue]]-tblOrders[[#This Row],[Cost]]</f>
        <v>445</v>
      </c>
      <c r="P284" t="str">
        <f>TEXT(tblOrders[[#This Row],[OrderDate]],"mmm")</f>
        <v>Apr</v>
      </c>
    </row>
    <row r="285" spans="1:16" x14ac:dyDescent="0.25">
      <c r="A285" t="s">
        <v>595</v>
      </c>
      <c r="B285" s="2">
        <v>45799</v>
      </c>
      <c r="C285" t="s">
        <v>63</v>
      </c>
      <c r="D285" t="s">
        <v>11</v>
      </c>
      <c r="E285" t="s">
        <v>46</v>
      </c>
      <c r="F285" t="s">
        <v>23</v>
      </c>
      <c r="G285">
        <v>14</v>
      </c>
      <c r="H285">
        <v>900</v>
      </c>
      <c r="I285">
        <v>0</v>
      </c>
      <c r="J285" t="str">
        <f>_xlfn.XLOOKUP(tblOrders[[#This Row],[ProductID]],Products!$A$2:$A$9,Products!$B$2:$B$9,"Unknown")</f>
        <v>Keyboard</v>
      </c>
      <c r="K285" t="str">
        <f>_xlfn.XLOOKUP(tblOrders[[#This Row],[ProductID]],Products!$A$2:$A$9,Products!$C$2:$C$9,"Unknown")</f>
        <v>Accessories</v>
      </c>
      <c r="L285">
        <f>_xlfn.XLOOKUP(tblOrders[[#This Row],[ProductID]],Products!$A$2:$A$9,Products!$D$2:$D$9,0)</f>
        <v>600</v>
      </c>
      <c r="M285">
        <f>tblOrders[[#This Row],[Quantity]]*tblOrders[[#This Row],[UnitPrice]]*(1-tblOrders[[#This Row],[Discount]])</f>
        <v>12600</v>
      </c>
      <c r="N285">
        <f>tblOrders[[#This Row],[Quantity]]*tblOrders[[#This Row],[UnitCost]]</f>
        <v>8400</v>
      </c>
      <c r="O285">
        <f>tblOrders[[#This Row],[Revenue]]-tblOrders[[#This Row],[Cost]]</f>
        <v>4200</v>
      </c>
      <c r="P285" t="str">
        <f>TEXT(tblOrders[[#This Row],[OrderDate]],"mmm")</f>
        <v>May</v>
      </c>
    </row>
    <row r="286" spans="1:16" x14ac:dyDescent="0.25">
      <c r="A286" t="s">
        <v>131</v>
      </c>
      <c r="B286" s="2">
        <v>45950</v>
      </c>
      <c r="C286" t="s">
        <v>132</v>
      </c>
      <c r="D286" t="s">
        <v>21</v>
      </c>
      <c r="E286" t="s">
        <v>22</v>
      </c>
      <c r="F286" t="s">
        <v>69</v>
      </c>
      <c r="G286">
        <v>14</v>
      </c>
      <c r="H286">
        <v>12000</v>
      </c>
      <c r="I286">
        <v>0</v>
      </c>
      <c r="J286" t="str">
        <f>_xlfn.XLOOKUP(tblOrders[[#This Row],[ProductID]],Products!$A$2:$A$9,Products!$B$2:$B$9,"Unknown")</f>
        <v>Monitor</v>
      </c>
      <c r="K286" t="str">
        <f>_xlfn.XLOOKUP(tblOrders[[#This Row],[ProductID]],Products!$A$2:$A$9,Products!$C$2:$C$9,"Unknown")</f>
        <v>Electronics</v>
      </c>
      <c r="L286">
        <f>_xlfn.XLOOKUP(tblOrders[[#This Row],[ProductID]],Products!$A$2:$A$9,Products!$D$2:$D$9,0)</f>
        <v>9000</v>
      </c>
      <c r="M286">
        <f>tblOrders[[#This Row],[Quantity]]*tblOrders[[#This Row],[UnitPrice]]*(1-tblOrders[[#This Row],[Discount]])</f>
        <v>168000</v>
      </c>
      <c r="N286">
        <f>tblOrders[[#This Row],[Quantity]]*tblOrders[[#This Row],[UnitCost]]</f>
        <v>126000</v>
      </c>
      <c r="O286">
        <f>tblOrders[[#This Row],[Revenue]]-tblOrders[[#This Row],[Cost]]</f>
        <v>42000</v>
      </c>
      <c r="P286" t="str">
        <f>TEXT(tblOrders[[#This Row],[OrderDate]],"mmm")</f>
        <v>Oct</v>
      </c>
    </row>
    <row r="287" spans="1:16" x14ac:dyDescent="0.25">
      <c r="A287" t="s">
        <v>784</v>
      </c>
      <c r="B287" s="2">
        <v>46003</v>
      </c>
      <c r="C287" t="s">
        <v>68</v>
      </c>
      <c r="D287" t="s">
        <v>21</v>
      </c>
      <c r="E287" t="s">
        <v>28</v>
      </c>
      <c r="F287" t="s">
        <v>23</v>
      </c>
      <c r="G287">
        <v>6</v>
      </c>
      <c r="H287">
        <v>900</v>
      </c>
      <c r="I287">
        <v>0</v>
      </c>
      <c r="J287" t="str">
        <f>_xlfn.XLOOKUP(tblOrders[[#This Row],[ProductID]],Products!$A$2:$A$9,Products!$B$2:$B$9,"Unknown")</f>
        <v>Keyboard</v>
      </c>
      <c r="K287" t="str">
        <f>_xlfn.XLOOKUP(tblOrders[[#This Row],[ProductID]],Products!$A$2:$A$9,Products!$C$2:$C$9,"Unknown")</f>
        <v>Accessories</v>
      </c>
      <c r="L287">
        <f>_xlfn.XLOOKUP(tblOrders[[#This Row],[ProductID]],Products!$A$2:$A$9,Products!$D$2:$D$9,0)</f>
        <v>600</v>
      </c>
      <c r="M287">
        <f>tblOrders[[#This Row],[Quantity]]*tblOrders[[#This Row],[UnitPrice]]*(1-tblOrders[[#This Row],[Discount]])</f>
        <v>5400</v>
      </c>
      <c r="N287">
        <f>tblOrders[[#This Row],[Quantity]]*tblOrders[[#This Row],[UnitCost]]</f>
        <v>3600</v>
      </c>
      <c r="O287">
        <f>tblOrders[[#This Row],[Revenue]]-tblOrders[[#This Row],[Cost]]</f>
        <v>1800</v>
      </c>
      <c r="P287" t="str">
        <f>TEXT(tblOrders[[#This Row],[OrderDate]],"mmm")</f>
        <v>Dec</v>
      </c>
    </row>
    <row r="288" spans="1:16" x14ac:dyDescent="0.25">
      <c r="A288" t="s">
        <v>804</v>
      </c>
      <c r="B288" s="2">
        <v>45690</v>
      </c>
      <c r="C288" t="s">
        <v>130</v>
      </c>
      <c r="D288" t="s">
        <v>39</v>
      </c>
      <c r="E288" t="s">
        <v>76</v>
      </c>
      <c r="F288" t="s">
        <v>34</v>
      </c>
      <c r="G288">
        <v>15</v>
      </c>
      <c r="H288">
        <v>55000</v>
      </c>
      <c r="I288">
        <v>0</v>
      </c>
      <c r="J288" t="str">
        <f>_xlfn.XLOOKUP(tblOrders[[#This Row],[ProductID]],Products!$A$2:$A$9,Products!$B$2:$B$9,"Unknown")</f>
        <v>Laptop</v>
      </c>
      <c r="K288" t="str">
        <f>_xlfn.XLOOKUP(tblOrders[[#This Row],[ProductID]],Products!$A$2:$A$9,Products!$C$2:$C$9,"Unknown")</f>
        <v>Electronics</v>
      </c>
      <c r="L288">
        <f>_xlfn.XLOOKUP(tblOrders[[#This Row],[ProductID]],Products!$A$2:$A$9,Products!$D$2:$D$9,0)</f>
        <v>41000</v>
      </c>
      <c r="M288">
        <f>tblOrders[[#This Row],[Quantity]]*tblOrders[[#This Row],[UnitPrice]]*(1-tblOrders[[#This Row],[Discount]])</f>
        <v>825000</v>
      </c>
      <c r="N288">
        <f>tblOrders[[#This Row],[Quantity]]*tblOrders[[#This Row],[UnitCost]]</f>
        <v>615000</v>
      </c>
      <c r="O288">
        <f>tblOrders[[#This Row],[Revenue]]-tblOrders[[#This Row],[Cost]]</f>
        <v>210000</v>
      </c>
      <c r="P288" t="str">
        <f>TEXT(tblOrders[[#This Row],[OrderDate]],"mmm")</f>
        <v>Feb</v>
      </c>
    </row>
    <row r="289" spans="1:16" x14ac:dyDescent="0.25">
      <c r="A289" t="s">
        <v>405</v>
      </c>
      <c r="B289" s="2">
        <v>45663</v>
      </c>
      <c r="C289" t="s">
        <v>50</v>
      </c>
      <c r="D289" t="s">
        <v>16</v>
      </c>
      <c r="E289" t="s">
        <v>33</v>
      </c>
      <c r="F289" t="s">
        <v>55</v>
      </c>
      <c r="G289">
        <v>13</v>
      </c>
      <c r="H289">
        <v>8000</v>
      </c>
      <c r="I289">
        <v>0.15</v>
      </c>
      <c r="J289" t="str">
        <f>_xlfn.XLOOKUP(tblOrders[[#This Row],[ProductID]],Products!$A$2:$A$9,Products!$B$2:$B$9,"Unknown")</f>
        <v>Printer</v>
      </c>
      <c r="K289" t="str">
        <f>_xlfn.XLOOKUP(tblOrders[[#This Row],[ProductID]],Products!$A$2:$A$9,Products!$C$2:$C$9,"Unknown")</f>
        <v>Electronics</v>
      </c>
      <c r="L289">
        <f>_xlfn.XLOOKUP(tblOrders[[#This Row],[ProductID]],Products!$A$2:$A$9,Products!$D$2:$D$9,0)</f>
        <v>6200</v>
      </c>
      <c r="M289">
        <f>tblOrders[[#This Row],[Quantity]]*tblOrders[[#This Row],[UnitPrice]]*(1-tblOrders[[#This Row],[Discount]])</f>
        <v>88400</v>
      </c>
      <c r="N289">
        <f>tblOrders[[#This Row],[Quantity]]*tblOrders[[#This Row],[UnitCost]]</f>
        <v>80600</v>
      </c>
      <c r="O289">
        <f>tblOrders[[#This Row],[Revenue]]-tblOrders[[#This Row],[Cost]]</f>
        <v>7800</v>
      </c>
      <c r="P289" t="str">
        <f>TEXT(tblOrders[[#This Row],[OrderDate]],"mmm")</f>
        <v>Jan</v>
      </c>
    </row>
    <row r="290" spans="1:16" x14ac:dyDescent="0.25">
      <c r="A290" t="s">
        <v>535</v>
      </c>
      <c r="B290" s="2">
        <v>45815</v>
      </c>
      <c r="C290" t="s">
        <v>160</v>
      </c>
      <c r="D290" t="s">
        <v>21</v>
      </c>
      <c r="E290" t="s">
        <v>28</v>
      </c>
      <c r="F290" t="s">
        <v>43</v>
      </c>
      <c r="G290">
        <v>7</v>
      </c>
      <c r="H290">
        <v>1500</v>
      </c>
      <c r="I290">
        <v>0.15</v>
      </c>
      <c r="J290" t="str">
        <f>_xlfn.XLOOKUP(tblOrders[[#This Row],[ProductID]],Products!$A$2:$A$9,Products!$B$2:$B$9,"Unknown")</f>
        <v>Webcam</v>
      </c>
      <c r="K290" t="str">
        <f>_xlfn.XLOOKUP(tblOrders[[#This Row],[ProductID]],Products!$A$2:$A$9,Products!$C$2:$C$9,"Unknown")</f>
        <v>Accessories</v>
      </c>
      <c r="L290">
        <f>_xlfn.XLOOKUP(tblOrders[[#This Row],[ProductID]],Products!$A$2:$A$9,Products!$D$2:$D$9,0)</f>
        <v>980</v>
      </c>
      <c r="M290">
        <f>tblOrders[[#This Row],[Quantity]]*tblOrders[[#This Row],[UnitPrice]]*(1-tblOrders[[#This Row],[Discount]])</f>
        <v>8925</v>
      </c>
      <c r="N290">
        <f>tblOrders[[#This Row],[Quantity]]*tblOrders[[#This Row],[UnitCost]]</f>
        <v>6860</v>
      </c>
      <c r="O290">
        <f>tblOrders[[#This Row],[Revenue]]-tblOrders[[#This Row],[Cost]]</f>
        <v>2065</v>
      </c>
      <c r="P290" t="str">
        <f>TEXT(tblOrders[[#This Row],[OrderDate]],"mmm")</f>
        <v>Jun</v>
      </c>
    </row>
    <row r="291" spans="1:16" x14ac:dyDescent="0.25">
      <c r="A291" t="s">
        <v>538</v>
      </c>
      <c r="B291" s="2">
        <v>45977</v>
      </c>
      <c r="C291" t="s">
        <v>333</v>
      </c>
      <c r="D291" t="s">
        <v>21</v>
      </c>
      <c r="E291" t="s">
        <v>28</v>
      </c>
      <c r="F291" t="s">
        <v>34</v>
      </c>
      <c r="G291">
        <v>10</v>
      </c>
      <c r="H291">
        <v>55000</v>
      </c>
      <c r="I291">
        <v>0</v>
      </c>
      <c r="J291" t="str">
        <f>_xlfn.XLOOKUP(tblOrders[[#This Row],[ProductID]],Products!$A$2:$A$9,Products!$B$2:$B$9,"Unknown")</f>
        <v>Laptop</v>
      </c>
      <c r="K291" t="str">
        <f>_xlfn.XLOOKUP(tblOrders[[#This Row],[ProductID]],Products!$A$2:$A$9,Products!$C$2:$C$9,"Unknown")</f>
        <v>Electronics</v>
      </c>
      <c r="L291">
        <f>_xlfn.XLOOKUP(tblOrders[[#This Row],[ProductID]],Products!$A$2:$A$9,Products!$D$2:$D$9,0)</f>
        <v>41000</v>
      </c>
      <c r="M291">
        <f>tblOrders[[#This Row],[Quantity]]*tblOrders[[#This Row],[UnitPrice]]*(1-tblOrders[[#This Row],[Discount]])</f>
        <v>550000</v>
      </c>
      <c r="N291">
        <f>tblOrders[[#This Row],[Quantity]]*tblOrders[[#This Row],[UnitCost]]</f>
        <v>410000</v>
      </c>
      <c r="O291">
        <f>tblOrders[[#This Row],[Revenue]]-tblOrders[[#This Row],[Cost]]</f>
        <v>140000</v>
      </c>
      <c r="P291" t="str">
        <f>TEXT(tblOrders[[#This Row],[OrderDate]],"mmm")</f>
        <v>Nov</v>
      </c>
    </row>
    <row r="292" spans="1:16" x14ac:dyDescent="0.25">
      <c r="A292" t="s">
        <v>748</v>
      </c>
      <c r="B292" s="2">
        <v>45856</v>
      </c>
      <c r="C292" t="s">
        <v>54</v>
      </c>
      <c r="D292" t="s">
        <v>16</v>
      </c>
      <c r="E292" t="s">
        <v>33</v>
      </c>
      <c r="F292" t="s">
        <v>23</v>
      </c>
      <c r="G292">
        <v>13</v>
      </c>
      <c r="H292">
        <v>900</v>
      </c>
      <c r="I292">
        <v>0</v>
      </c>
      <c r="J292" t="str">
        <f>_xlfn.XLOOKUP(tblOrders[[#This Row],[ProductID]],Products!$A$2:$A$9,Products!$B$2:$B$9,"Unknown")</f>
        <v>Keyboard</v>
      </c>
      <c r="K292" t="str">
        <f>_xlfn.XLOOKUP(tblOrders[[#This Row],[ProductID]],Products!$A$2:$A$9,Products!$C$2:$C$9,"Unknown")</f>
        <v>Accessories</v>
      </c>
      <c r="L292">
        <f>_xlfn.XLOOKUP(tblOrders[[#This Row],[ProductID]],Products!$A$2:$A$9,Products!$D$2:$D$9,0)</f>
        <v>600</v>
      </c>
      <c r="M292">
        <f>tblOrders[[#This Row],[Quantity]]*tblOrders[[#This Row],[UnitPrice]]*(1-tblOrders[[#This Row],[Discount]])</f>
        <v>11700</v>
      </c>
      <c r="N292">
        <f>tblOrders[[#This Row],[Quantity]]*tblOrders[[#This Row],[UnitCost]]</f>
        <v>7800</v>
      </c>
      <c r="O292">
        <f>tblOrders[[#This Row],[Revenue]]-tblOrders[[#This Row],[Cost]]</f>
        <v>3900</v>
      </c>
      <c r="P292" t="str">
        <f>TEXT(tblOrders[[#This Row],[OrderDate]],"mmm")</f>
        <v>Jul</v>
      </c>
    </row>
    <row r="293" spans="1:16" x14ac:dyDescent="0.25">
      <c r="A293" t="s">
        <v>1034</v>
      </c>
      <c r="B293" s="2">
        <v>45839</v>
      </c>
      <c r="C293" t="s">
        <v>27</v>
      </c>
      <c r="D293" t="s">
        <v>16</v>
      </c>
      <c r="E293" t="s">
        <v>17</v>
      </c>
      <c r="F293" t="s">
        <v>23</v>
      </c>
      <c r="G293">
        <v>2</v>
      </c>
      <c r="H293">
        <v>900</v>
      </c>
      <c r="I293">
        <v>0.15</v>
      </c>
      <c r="J293" t="str">
        <f>_xlfn.XLOOKUP(tblOrders[[#This Row],[ProductID]],Products!$A$2:$A$9,Products!$B$2:$B$9,"Unknown")</f>
        <v>Keyboard</v>
      </c>
      <c r="K293" t="str">
        <f>_xlfn.XLOOKUP(tblOrders[[#This Row],[ProductID]],Products!$A$2:$A$9,Products!$C$2:$C$9,"Unknown")</f>
        <v>Accessories</v>
      </c>
      <c r="L293">
        <f>_xlfn.XLOOKUP(tblOrders[[#This Row],[ProductID]],Products!$A$2:$A$9,Products!$D$2:$D$9,0)</f>
        <v>600</v>
      </c>
      <c r="M293">
        <f>tblOrders[[#This Row],[Quantity]]*tblOrders[[#This Row],[UnitPrice]]*(1-tblOrders[[#This Row],[Discount]])</f>
        <v>1530</v>
      </c>
      <c r="N293">
        <f>tblOrders[[#This Row],[Quantity]]*tblOrders[[#This Row],[UnitCost]]</f>
        <v>1200</v>
      </c>
      <c r="O293">
        <f>tblOrders[[#This Row],[Revenue]]-tblOrders[[#This Row],[Cost]]</f>
        <v>330</v>
      </c>
      <c r="P293" t="str">
        <f>TEXT(tblOrders[[#This Row],[OrderDate]],"mmm")</f>
        <v>Jul</v>
      </c>
    </row>
    <row r="294" spans="1:16" x14ac:dyDescent="0.25">
      <c r="A294" t="s">
        <v>541</v>
      </c>
      <c r="B294" s="2">
        <v>45793</v>
      </c>
      <c r="C294" t="s">
        <v>97</v>
      </c>
      <c r="D294" t="s">
        <v>16</v>
      </c>
      <c r="E294" t="s">
        <v>17</v>
      </c>
      <c r="F294" t="s">
        <v>55</v>
      </c>
      <c r="G294">
        <v>12</v>
      </c>
      <c r="H294">
        <v>8000</v>
      </c>
      <c r="I294">
        <v>0</v>
      </c>
      <c r="J294" t="str">
        <f>_xlfn.XLOOKUP(tblOrders[[#This Row],[ProductID]],Products!$A$2:$A$9,Products!$B$2:$B$9,"Unknown")</f>
        <v>Printer</v>
      </c>
      <c r="K294" t="str">
        <f>_xlfn.XLOOKUP(tblOrders[[#This Row],[ProductID]],Products!$A$2:$A$9,Products!$C$2:$C$9,"Unknown")</f>
        <v>Electronics</v>
      </c>
      <c r="L294">
        <f>_xlfn.XLOOKUP(tblOrders[[#This Row],[ProductID]],Products!$A$2:$A$9,Products!$D$2:$D$9,0)</f>
        <v>6200</v>
      </c>
      <c r="M294">
        <f>tblOrders[[#This Row],[Quantity]]*tblOrders[[#This Row],[UnitPrice]]*(1-tblOrders[[#This Row],[Discount]])</f>
        <v>96000</v>
      </c>
      <c r="N294">
        <f>tblOrders[[#This Row],[Quantity]]*tblOrders[[#This Row],[UnitCost]]</f>
        <v>74400</v>
      </c>
      <c r="O294">
        <f>tblOrders[[#This Row],[Revenue]]-tblOrders[[#This Row],[Cost]]</f>
        <v>21600</v>
      </c>
      <c r="P294" t="str">
        <f>TEXT(tblOrders[[#This Row],[OrderDate]],"mmm")</f>
        <v>May</v>
      </c>
    </row>
    <row r="295" spans="1:16" x14ac:dyDescent="0.25">
      <c r="A295" t="s">
        <v>1069</v>
      </c>
      <c r="B295" s="2">
        <v>45724</v>
      </c>
      <c r="C295" t="s">
        <v>245</v>
      </c>
      <c r="D295" t="s">
        <v>16</v>
      </c>
      <c r="E295" t="s">
        <v>17</v>
      </c>
      <c r="F295" t="s">
        <v>55</v>
      </c>
      <c r="G295">
        <v>3</v>
      </c>
      <c r="H295">
        <v>8000</v>
      </c>
      <c r="I295">
        <v>0</v>
      </c>
      <c r="J295" t="str">
        <f>_xlfn.XLOOKUP(tblOrders[[#This Row],[ProductID]],Products!$A$2:$A$9,Products!$B$2:$B$9,"Unknown")</f>
        <v>Printer</v>
      </c>
      <c r="K295" t="str">
        <f>_xlfn.XLOOKUP(tblOrders[[#This Row],[ProductID]],Products!$A$2:$A$9,Products!$C$2:$C$9,"Unknown")</f>
        <v>Electronics</v>
      </c>
      <c r="L295">
        <f>_xlfn.XLOOKUP(tblOrders[[#This Row],[ProductID]],Products!$A$2:$A$9,Products!$D$2:$D$9,0)</f>
        <v>6200</v>
      </c>
      <c r="M295">
        <f>tblOrders[[#This Row],[Quantity]]*tblOrders[[#This Row],[UnitPrice]]*(1-tblOrders[[#This Row],[Discount]])</f>
        <v>24000</v>
      </c>
      <c r="N295">
        <f>tblOrders[[#This Row],[Quantity]]*tblOrders[[#This Row],[UnitCost]]</f>
        <v>18600</v>
      </c>
      <c r="O295">
        <f>tblOrders[[#This Row],[Revenue]]-tblOrders[[#This Row],[Cost]]</f>
        <v>5400</v>
      </c>
      <c r="P295" t="str">
        <f>TEXT(tblOrders[[#This Row],[OrderDate]],"mmm")</f>
        <v>Mar</v>
      </c>
    </row>
    <row r="296" spans="1:16" x14ac:dyDescent="0.25">
      <c r="A296" t="s">
        <v>110</v>
      </c>
      <c r="B296" s="2">
        <v>45731</v>
      </c>
      <c r="C296" t="s">
        <v>61</v>
      </c>
      <c r="D296" t="s">
        <v>16</v>
      </c>
      <c r="E296" t="s">
        <v>17</v>
      </c>
      <c r="F296" t="s">
        <v>64</v>
      </c>
      <c r="G296">
        <v>3</v>
      </c>
      <c r="H296">
        <v>500</v>
      </c>
      <c r="I296">
        <v>0.05</v>
      </c>
      <c r="J296" t="str">
        <f>_xlfn.XLOOKUP(tblOrders[[#This Row],[ProductID]],Products!$A$2:$A$9,Products!$B$2:$B$9,"Unknown")</f>
        <v>Mouse</v>
      </c>
      <c r="K296" t="str">
        <f>_xlfn.XLOOKUP(tblOrders[[#This Row],[ProductID]],Products!$A$2:$A$9,Products!$C$2:$C$9,"Unknown")</f>
        <v>Accessories</v>
      </c>
      <c r="L296">
        <f>_xlfn.XLOOKUP(tblOrders[[#This Row],[ProductID]],Products!$A$2:$A$9,Products!$D$2:$D$9,0)</f>
        <v>320</v>
      </c>
      <c r="M296">
        <f>tblOrders[[#This Row],[Quantity]]*tblOrders[[#This Row],[UnitPrice]]*(1-tblOrders[[#This Row],[Discount]])</f>
        <v>1425</v>
      </c>
      <c r="N296">
        <f>tblOrders[[#This Row],[Quantity]]*tblOrders[[#This Row],[UnitCost]]</f>
        <v>960</v>
      </c>
      <c r="O296">
        <f>tblOrders[[#This Row],[Revenue]]-tblOrders[[#This Row],[Cost]]</f>
        <v>465</v>
      </c>
      <c r="P296" t="str">
        <f>TEXT(tblOrders[[#This Row],[OrderDate]],"mmm")</f>
        <v>Mar</v>
      </c>
    </row>
    <row r="297" spans="1:16" x14ac:dyDescent="0.25">
      <c r="A297" t="s">
        <v>551</v>
      </c>
      <c r="B297" s="2">
        <v>45862</v>
      </c>
      <c r="C297" t="s">
        <v>105</v>
      </c>
      <c r="D297" t="s">
        <v>21</v>
      </c>
      <c r="E297" t="s">
        <v>22</v>
      </c>
      <c r="F297" t="s">
        <v>13</v>
      </c>
      <c r="G297">
        <v>2</v>
      </c>
      <c r="H297">
        <v>2000</v>
      </c>
      <c r="I297">
        <v>0</v>
      </c>
      <c r="J297" t="str">
        <f>_xlfn.XLOOKUP(tblOrders[[#This Row],[ProductID]],Products!$A$2:$A$9,Products!$B$2:$B$9,"Unknown")</f>
        <v>Headset</v>
      </c>
      <c r="K297" t="str">
        <f>_xlfn.XLOOKUP(tblOrders[[#This Row],[ProductID]],Products!$A$2:$A$9,Products!$C$2:$C$9,"Unknown")</f>
        <v>Accessories</v>
      </c>
      <c r="L297">
        <f>_xlfn.XLOOKUP(tblOrders[[#This Row],[ProductID]],Products!$A$2:$A$9,Products!$D$2:$D$9,0)</f>
        <v>1300</v>
      </c>
      <c r="M297">
        <f>tblOrders[[#This Row],[Quantity]]*tblOrders[[#This Row],[UnitPrice]]*(1-tblOrders[[#This Row],[Discount]])</f>
        <v>4000</v>
      </c>
      <c r="N297">
        <f>tblOrders[[#This Row],[Quantity]]*tblOrders[[#This Row],[UnitCost]]</f>
        <v>2600</v>
      </c>
      <c r="O297">
        <f>tblOrders[[#This Row],[Revenue]]-tblOrders[[#This Row],[Cost]]</f>
        <v>1400</v>
      </c>
      <c r="P297" t="str">
        <f>TEXT(tblOrders[[#This Row],[OrderDate]],"mmm")</f>
        <v>Jul</v>
      </c>
    </row>
    <row r="298" spans="1:16" x14ac:dyDescent="0.25">
      <c r="A298" t="s">
        <v>244</v>
      </c>
      <c r="B298" s="2">
        <v>45668</v>
      </c>
      <c r="C298" t="s">
        <v>245</v>
      </c>
      <c r="D298" t="s">
        <v>11</v>
      </c>
      <c r="E298" t="s">
        <v>46</v>
      </c>
      <c r="F298" t="s">
        <v>64</v>
      </c>
      <c r="G298">
        <v>2</v>
      </c>
      <c r="H298">
        <v>500</v>
      </c>
      <c r="I298">
        <v>0.1</v>
      </c>
      <c r="J298" t="str">
        <f>_xlfn.XLOOKUP(tblOrders[[#This Row],[ProductID]],Products!$A$2:$A$9,Products!$B$2:$B$9,"Unknown")</f>
        <v>Mouse</v>
      </c>
      <c r="K298" t="str">
        <f>_xlfn.XLOOKUP(tblOrders[[#This Row],[ProductID]],Products!$A$2:$A$9,Products!$C$2:$C$9,"Unknown")</f>
        <v>Accessories</v>
      </c>
      <c r="L298">
        <f>_xlfn.XLOOKUP(tblOrders[[#This Row],[ProductID]],Products!$A$2:$A$9,Products!$D$2:$D$9,0)</f>
        <v>320</v>
      </c>
      <c r="M298">
        <f>tblOrders[[#This Row],[Quantity]]*tblOrders[[#This Row],[UnitPrice]]*(1-tblOrders[[#This Row],[Discount]])</f>
        <v>900</v>
      </c>
      <c r="N298">
        <f>tblOrders[[#This Row],[Quantity]]*tblOrders[[#This Row],[UnitCost]]</f>
        <v>640</v>
      </c>
      <c r="O298">
        <f>tblOrders[[#This Row],[Revenue]]-tblOrders[[#This Row],[Cost]]</f>
        <v>260</v>
      </c>
      <c r="P298" t="str">
        <f>TEXT(tblOrders[[#This Row],[OrderDate]],"mmm")</f>
        <v>Jan</v>
      </c>
    </row>
    <row r="299" spans="1:16" x14ac:dyDescent="0.25">
      <c r="A299" t="s">
        <v>870</v>
      </c>
      <c r="B299" s="2">
        <v>45878</v>
      </c>
      <c r="C299" t="s">
        <v>20</v>
      </c>
      <c r="D299" t="s">
        <v>39</v>
      </c>
      <c r="E299" t="s">
        <v>40</v>
      </c>
      <c r="F299" t="s">
        <v>55</v>
      </c>
      <c r="G299">
        <v>8</v>
      </c>
      <c r="H299">
        <v>8000</v>
      </c>
      <c r="I299">
        <v>0.05</v>
      </c>
      <c r="J299" t="str">
        <f>_xlfn.XLOOKUP(tblOrders[[#This Row],[ProductID]],Products!$A$2:$A$9,Products!$B$2:$B$9,"Unknown")</f>
        <v>Printer</v>
      </c>
      <c r="K299" t="str">
        <f>_xlfn.XLOOKUP(tblOrders[[#This Row],[ProductID]],Products!$A$2:$A$9,Products!$C$2:$C$9,"Unknown")</f>
        <v>Electronics</v>
      </c>
      <c r="L299">
        <f>_xlfn.XLOOKUP(tblOrders[[#This Row],[ProductID]],Products!$A$2:$A$9,Products!$D$2:$D$9,0)</f>
        <v>6200</v>
      </c>
      <c r="M299">
        <f>tblOrders[[#This Row],[Quantity]]*tblOrders[[#This Row],[UnitPrice]]*(1-tblOrders[[#This Row],[Discount]])</f>
        <v>60800</v>
      </c>
      <c r="N299">
        <f>tblOrders[[#This Row],[Quantity]]*tblOrders[[#This Row],[UnitCost]]</f>
        <v>49600</v>
      </c>
      <c r="O299">
        <f>tblOrders[[#This Row],[Revenue]]-tblOrders[[#This Row],[Cost]]</f>
        <v>11200</v>
      </c>
      <c r="P299" t="str">
        <f>TEXT(tblOrders[[#This Row],[OrderDate]],"mmm")</f>
        <v>Aug</v>
      </c>
    </row>
    <row r="300" spans="1:16" x14ac:dyDescent="0.25">
      <c r="A300" t="s">
        <v>29</v>
      </c>
      <c r="B300" s="2">
        <v>45797</v>
      </c>
      <c r="C300" t="s">
        <v>30</v>
      </c>
      <c r="D300" t="s">
        <v>21</v>
      </c>
      <c r="E300" t="s">
        <v>22</v>
      </c>
      <c r="F300" t="s">
        <v>13</v>
      </c>
      <c r="G300">
        <v>15</v>
      </c>
      <c r="H300">
        <v>2000</v>
      </c>
      <c r="I300">
        <v>0</v>
      </c>
      <c r="J300" t="str">
        <f>_xlfn.XLOOKUP(tblOrders[[#This Row],[ProductID]],Products!$A$2:$A$9,Products!$B$2:$B$9,"Unknown")</f>
        <v>Headset</v>
      </c>
      <c r="K300" t="str">
        <f>_xlfn.XLOOKUP(tblOrders[[#This Row],[ProductID]],Products!$A$2:$A$9,Products!$C$2:$C$9,"Unknown")</f>
        <v>Accessories</v>
      </c>
      <c r="L300">
        <f>_xlfn.XLOOKUP(tblOrders[[#This Row],[ProductID]],Products!$A$2:$A$9,Products!$D$2:$D$9,0)</f>
        <v>1300</v>
      </c>
      <c r="M300">
        <f>tblOrders[[#This Row],[Quantity]]*tblOrders[[#This Row],[UnitPrice]]*(1-tblOrders[[#This Row],[Discount]])</f>
        <v>30000</v>
      </c>
      <c r="N300">
        <f>tblOrders[[#This Row],[Quantity]]*tblOrders[[#This Row],[UnitCost]]</f>
        <v>19500</v>
      </c>
      <c r="O300">
        <f>tblOrders[[#This Row],[Revenue]]-tblOrders[[#This Row],[Cost]]</f>
        <v>10500</v>
      </c>
      <c r="P300" t="str">
        <f>TEXT(tblOrders[[#This Row],[OrderDate]],"mmm")</f>
        <v>May</v>
      </c>
    </row>
    <row r="301" spans="1:16" x14ac:dyDescent="0.25">
      <c r="A301" t="s">
        <v>266</v>
      </c>
      <c r="B301" s="2">
        <v>45840</v>
      </c>
      <c r="C301" t="s">
        <v>207</v>
      </c>
      <c r="D301" t="s">
        <v>21</v>
      </c>
      <c r="E301" t="s">
        <v>28</v>
      </c>
      <c r="F301" t="s">
        <v>69</v>
      </c>
      <c r="G301">
        <v>12</v>
      </c>
      <c r="H301">
        <v>12000</v>
      </c>
      <c r="I301">
        <v>0.15</v>
      </c>
      <c r="J301" t="str">
        <f>_xlfn.XLOOKUP(tblOrders[[#This Row],[ProductID]],Products!$A$2:$A$9,Products!$B$2:$B$9,"Unknown")</f>
        <v>Monitor</v>
      </c>
      <c r="K301" t="str">
        <f>_xlfn.XLOOKUP(tblOrders[[#This Row],[ProductID]],Products!$A$2:$A$9,Products!$C$2:$C$9,"Unknown")</f>
        <v>Electronics</v>
      </c>
      <c r="L301">
        <f>_xlfn.XLOOKUP(tblOrders[[#This Row],[ProductID]],Products!$A$2:$A$9,Products!$D$2:$D$9,0)</f>
        <v>9000</v>
      </c>
      <c r="M301">
        <f>tblOrders[[#This Row],[Quantity]]*tblOrders[[#This Row],[UnitPrice]]*(1-tblOrders[[#This Row],[Discount]])</f>
        <v>122400</v>
      </c>
      <c r="N301">
        <f>tblOrders[[#This Row],[Quantity]]*tblOrders[[#This Row],[UnitCost]]</f>
        <v>108000</v>
      </c>
      <c r="O301">
        <f>tblOrders[[#This Row],[Revenue]]-tblOrders[[#This Row],[Cost]]</f>
        <v>14400</v>
      </c>
      <c r="P301" t="str">
        <f>TEXT(tblOrders[[#This Row],[OrderDate]],"mmm")</f>
        <v>Jul</v>
      </c>
    </row>
    <row r="302" spans="1:16" x14ac:dyDescent="0.25">
      <c r="A302" t="s">
        <v>182</v>
      </c>
      <c r="B302" s="2">
        <v>45979</v>
      </c>
      <c r="C302" t="s">
        <v>115</v>
      </c>
      <c r="D302" t="s">
        <v>39</v>
      </c>
      <c r="E302" t="s">
        <v>76</v>
      </c>
      <c r="F302" t="s">
        <v>18</v>
      </c>
      <c r="G302">
        <v>2</v>
      </c>
      <c r="H302">
        <v>18000</v>
      </c>
      <c r="I302">
        <v>0.15</v>
      </c>
      <c r="J302" t="str">
        <f>_xlfn.XLOOKUP(tblOrders[[#This Row],[ProductID]],Products!$A$2:$A$9,Products!$B$2:$B$9,"Unknown")</f>
        <v>Tablet</v>
      </c>
      <c r="K302" t="str">
        <f>_xlfn.XLOOKUP(tblOrders[[#This Row],[ProductID]],Products!$A$2:$A$9,Products!$C$2:$C$9,"Unknown")</f>
        <v>Electronics</v>
      </c>
      <c r="L302">
        <f>_xlfn.XLOOKUP(tblOrders[[#This Row],[ProductID]],Products!$A$2:$A$9,Products!$D$2:$D$9,0)</f>
        <v>13500</v>
      </c>
      <c r="M302">
        <f>tblOrders[[#This Row],[Quantity]]*tblOrders[[#This Row],[UnitPrice]]*(1-tblOrders[[#This Row],[Discount]])</f>
        <v>30600</v>
      </c>
      <c r="N302">
        <f>tblOrders[[#This Row],[Quantity]]*tblOrders[[#This Row],[UnitCost]]</f>
        <v>27000</v>
      </c>
      <c r="O302">
        <f>tblOrders[[#This Row],[Revenue]]-tblOrders[[#This Row],[Cost]]</f>
        <v>3600</v>
      </c>
      <c r="P302" t="str">
        <f>TEXT(tblOrders[[#This Row],[OrderDate]],"mmm")</f>
        <v>Nov</v>
      </c>
    </row>
    <row r="303" spans="1:16" x14ac:dyDescent="0.25">
      <c r="A303" t="s">
        <v>927</v>
      </c>
      <c r="B303" s="2">
        <v>45881</v>
      </c>
      <c r="C303" t="s">
        <v>151</v>
      </c>
      <c r="D303" t="s">
        <v>39</v>
      </c>
      <c r="E303" t="s">
        <v>40</v>
      </c>
      <c r="F303" t="s">
        <v>13</v>
      </c>
      <c r="G303">
        <v>14</v>
      </c>
      <c r="H303">
        <v>2000</v>
      </c>
      <c r="I303">
        <v>0.05</v>
      </c>
      <c r="J303" t="str">
        <f>_xlfn.XLOOKUP(tblOrders[[#This Row],[ProductID]],Products!$A$2:$A$9,Products!$B$2:$B$9,"Unknown")</f>
        <v>Headset</v>
      </c>
      <c r="K303" t="str">
        <f>_xlfn.XLOOKUP(tblOrders[[#This Row],[ProductID]],Products!$A$2:$A$9,Products!$C$2:$C$9,"Unknown")</f>
        <v>Accessories</v>
      </c>
      <c r="L303">
        <f>_xlfn.XLOOKUP(tblOrders[[#This Row],[ProductID]],Products!$A$2:$A$9,Products!$D$2:$D$9,0)</f>
        <v>1300</v>
      </c>
      <c r="M303">
        <f>tblOrders[[#This Row],[Quantity]]*tblOrders[[#This Row],[UnitPrice]]*(1-tblOrders[[#This Row],[Discount]])</f>
        <v>26600</v>
      </c>
      <c r="N303">
        <f>tblOrders[[#This Row],[Quantity]]*tblOrders[[#This Row],[UnitCost]]</f>
        <v>18200</v>
      </c>
      <c r="O303">
        <f>tblOrders[[#This Row],[Revenue]]-tblOrders[[#This Row],[Cost]]</f>
        <v>8400</v>
      </c>
      <c r="P303" t="str">
        <f>TEXT(tblOrders[[#This Row],[OrderDate]],"mmm")</f>
        <v>Aug</v>
      </c>
    </row>
    <row r="304" spans="1:16" x14ac:dyDescent="0.25">
      <c r="A304" t="s">
        <v>1008</v>
      </c>
      <c r="B304" s="2">
        <v>45850</v>
      </c>
      <c r="C304" t="s">
        <v>59</v>
      </c>
      <c r="D304" t="s">
        <v>21</v>
      </c>
      <c r="E304" t="s">
        <v>28</v>
      </c>
      <c r="F304" t="s">
        <v>34</v>
      </c>
      <c r="G304">
        <v>9</v>
      </c>
      <c r="H304">
        <v>55000</v>
      </c>
      <c r="I304">
        <v>0.15</v>
      </c>
      <c r="J304" t="str">
        <f>_xlfn.XLOOKUP(tblOrders[[#This Row],[ProductID]],Products!$A$2:$A$9,Products!$B$2:$B$9,"Unknown")</f>
        <v>Laptop</v>
      </c>
      <c r="K304" t="str">
        <f>_xlfn.XLOOKUP(tblOrders[[#This Row],[ProductID]],Products!$A$2:$A$9,Products!$C$2:$C$9,"Unknown")</f>
        <v>Electronics</v>
      </c>
      <c r="L304">
        <f>_xlfn.XLOOKUP(tblOrders[[#This Row],[ProductID]],Products!$A$2:$A$9,Products!$D$2:$D$9,0)</f>
        <v>41000</v>
      </c>
      <c r="M304">
        <f>tblOrders[[#This Row],[Quantity]]*tblOrders[[#This Row],[UnitPrice]]*(1-tblOrders[[#This Row],[Discount]])</f>
        <v>420750</v>
      </c>
      <c r="N304">
        <f>tblOrders[[#This Row],[Quantity]]*tblOrders[[#This Row],[UnitCost]]</f>
        <v>369000</v>
      </c>
      <c r="O304">
        <f>tblOrders[[#This Row],[Revenue]]-tblOrders[[#This Row],[Cost]]</f>
        <v>51750</v>
      </c>
      <c r="P304" t="str">
        <f>TEXT(tblOrders[[#This Row],[OrderDate]],"mmm")</f>
        <v>Jul</v>
      </c>
    </row>
    <row r="305" spans="1:16" x14ac:dyDescent="0.25">
      <c r="A305" t="s">
        <v>1048</v>
      </c>
      <c r="B305" s="2">
        <v>45803</v>
      </c>
      <c r="C305" t="s">
        <v>103</v>
      </c>
      <c r="D305" t="s">
        <v>21</v>
      </c>
      <c r="E305" t="s">
        <v>28</v>
      </c>
      <c r="F305" t="s">
        <v>34</v>
      </c>
      <c r="G305">
        <v>15</v>
      </c>
      <c r="H305">
        <v>55000</v>
      </c>
      <c r="I305">
        <v>0</v>
      </c>
      <c r="J305" t="str">
        <f>_xlfn.XLOOKUP(tblOrders[[#This Row],[ProductID]],Products!$A$2:$A$9,Products!$B$2:$B$9,"Unknown")</f>
        <v>Laptop</v>
      </c>
      <c r="K305" t="str">
        <f>_xlfn.XLOOKUP(tblOrders[[#This Row],[ProductID]],Products!$A$2:$A$9,Products!$C$2:$C$9,"Unknown")</f>
        <v>Electronics</v>
      </c>
      <c r="L305">
        <f>_xlfn.XLOOKUP(tblOrders[[#This Row],[ProductID]],Products!$A$2:$A$9,Products!$D$2:$D$9,0)</f>
        <v>41000</v>
      </c>
      <c r="M305">
        <f>tblOrders[[#This Row],[Quantity]]*tblOrders[[#This Row],[UnitPrice]]*(1-tblOrders[[#This Row],[Discount]])</f>
        <v>825000</v>
      </c>
      <c r="N305">
        <f>tblOrders[[#This Row],[Quantity]]*tblOrders[[#This Row],[UnitCost]]</f>
        <v>615000</v>
      </c>
      <c r="O305">
        <f>tblOrders[[#This Row],[Revenue]]-tblOrders[[#This Row],[Cost]]</f>
        <v>210000</v>
      </c>
      <c r="P305" t="str">
        <f>TEXT(tblOrders[[#This Row],[OrderDate]],"mmm")</f>
        <v>May</v>
      </c>
    </row>
    <row r="306" spans="1:16" x14ac:dyDescent="0.25">
      <c r="A306" t="s">
        <v>633</v>
      </c>
      <c r="B306" s="2">
        <v>45826</v>
      </c>
      <c r="C306" t="s">
        <v>45</v>
      </c>
      <c r="D306" t="s">
        <v>16</v>
      </c>
      <c r="E306" t="s">
        <v>33</v>
      </c>
      <c r="F306" t="s">
        <v>64</v>
      </c>
      <c r="G306">
        <v>4</v>
      </c>
      <c r="H306">
        <v>500</v>
      </c>
      <c r="I306">
        <v>0.15</v>
      </c>
      <c r="J306" t="str">
        <f>_xlfn.XLOOKUP(tblOrders[[#This Row],[ProductID]],Products!$A$2:$A$9,Products!$B$2:$B$9,"Unknown")</f>
        <v>Mouse</v>
      </c>
      <c r="K306" t="str">
        <f>_xlfn.XLOOKUP(tblOrders[[#This Row],[ProductID]],Products!$A$2:$A$9,Products!$C$2:$C$9,"Unknown")</f>
        <v>Accessories</v>
      </c>
      <c r="L306">
        <f>_xlfn.XLOOKUP(tblOrders[[#This Row],[ProductID]],Products!$A$2:$A$9,Products!$D$2:$D$9,0)</f>
        <v>320</v>
      </c>
      <c r="M306">
        <f>tblOrders[[#This Row],[Quantity]]*tblOrders[[#This Row],[UnitPrice]]*(1-tblOrders[[#This Row],[Discount]])</f>
        <v>1700</v>
      </c>
      <c r="N306">
        <f>tblOrders[[#This Row],[Quantity]]*tblOrders[[#This Row],[UnitCost]]</f>
        <v>1280</v>
      </c>
      <c r="O306">
        <f>tblOrders[[#This Row],[Revenue]]-tblOrders[[#This Row],[Cost]]</f>
        <v>420</v>
      </c>
      <c r="P306" t="str">
        <f>TEXT(tblOrders[[#This Row],[OrderDate]],"mmm")</f>
        <v>Jun</v>
      </c>
    </row>
    <row r="307" spans="1:16" x14ac:dyDescent="0.25">
      <c r="A307" t="s">
        <v>957</v>
      </c>
      <c r="B307" s="2">
        <v>45684</v>
      </c>
      <c r="C307" t="s">
        <v>144</v>
      </c>
      <c r="D307" t="s">
        <v>11</v>
      </c>
      <c r="E307" t="s">
        <v>12</v>
      </c>
      <c r="F307" t="s">
        <v>43</v>
      </c>
      <c r="G307">
        <v>2</v>
      </c>
      <c r="H307">
        <v>1500</v>
      </c>
      <c r="I307">
        <v>0</v>
      </c>
      <c r="J307" t="str">
        <f>_xlfn.XLOOKUP(tblOrders[[#This Row],[ProductID]],Products!$A$2:$A$9,Products!$B$2:$B$9,"Unknown")</f>
        <v>Webcam</v>
      </c>
      <c r="K307" t="str">
        <f>_xlfn.XLOOKUP(tblOrders[[#This Row],[ProductID]],Products!$A$2:$A$9,Products!$C$2:$C$9,"Unknown")</f>
        <v>Accessories</v>
      </c>
      <c r="L307">
        <f>_xlfn.XLOOKUP(tblOrders[[#This Row],[ProductID]],Products!$A$2:$A$9,Products!$D$2:$D$9,0)</f>
        <v>980</v>
      </c>
      <c r="M307">
        <f>tblOrders[[#This Row],[Quantity]]*tblOrders[[#This Row],[UnitPrice]]*(1-tblOrders[[#This Row],[Discount]])</f>
        <v>3000</v>
      </c>
      <c r="N307">
        <f>tblOrders[[#This Row],[Quantity]]*tblOrders[[#This Row],[UnitCost]]</f>
        <v>1960</v>
      </c>
      <c r="O307">
        <f>tblOrders[[#This Row],[Revenue]]-tblOrders[[#This Row],[Cost]]</f>
        <v>1040</v>
      </c>
      <c r="P307" t="str">
        <f>TEXT(tblOrders[[#This Row],[OrderDate]],"mmm")</f>
        <v>Jan</v>
      </c>
    </row>
    <row r="308" spans="1:16" x14ac:dyDescent="0.25">
      <c r="A308" t="s">
        <v>978</v>
      </c>
      <c r="B308" s="2">
        <v>45716</v>
      </c>
      <c r="C308" t="s">
        <v>144</v>
      </c>
      <c r="D308" t="s">
        <v>21</v>
      </c>
      <c r="E308" t="s">
        <v>22</v>
      </c>
      <c r="F308" t="s">
        <v>23</v>
      </c>
      <c r="G308">
        <v>5</v>
      </c>
      <c r="H308">
        <v>900</v>
      </c>
      <c r="I308">
        <v>0</v>
      </c>
      <c r="J308" t="str">
        <f>_xlfn.XLOOKUP(tblOrders[[#This Row],[ProductID]],Products!$A$2:$A$9,Products!$B$2:$B$9,"Unknown")</f>
        <v>Keyboard</v>
      </c>
      <c r="K308" t="str">
        <f>_xlfn.XLOOKUP(tblOrders[[#This Row],[ProductID]],Products!$A$2:$A$9,Products!$C$2:$C$9,"Unknown")</f>
        <v>Accessories</v>
      </c>
      <c r="L308">
        <f>_xlfn.XLOOKUP(tblOrders[[#This Row],[ProductID]],Products!$A$2:$A$9,Products!$D$2:$D$9,0)</f>
        <v>600</v>
      </c>
      <c r="M308">
        <f>tblOrders[[#This Row],[Quantity]]*tblOrders[[#This Row],[UnitPrice]]*(1-tblOrders[[#This Row],[Discount]])</f>
        <v>4500</v>
      </c>
      <c r="N308">
        <f>tblOrders[[#This Row],[Quantity]]*tblOrders[[#This Row],[UnitCost]]</f>
        <v>3000</v>
      </c>
      <c r="O308">
        <f>tblOrders[[#This Row],[Revenue]]-tblOrders[[#This Row],[Cost]]</f>
        <v>1500</v>
      </c>
      <c r="P308" t="str">
        <f>TEXT(tblOrders[[#This Row],[OrderDate]],"mmm")</f>
        <v>Feb</v>
      </c>
    </row>
    <row r="309" spans="1:16" x14ac:dyDescent="0.25">
      <c r="A309" t="s">
        <v>582</v>
      </c>
      <c r="B309" s="2">
        <v>46022</v>
      </c>
      <c r="C309" t="s">
        <v>90</v>
      </c>
      <c r="D309" t="s">
        <v>16</v>
      </c>
      <c r="E309" t="s">
        <v>17</v>
      </c>
      <c r="F309" t="s">
        <v>23</v>
      </c>
      <c r="G309">
        <v>9</v>
      </c>
      <c r="H309">
        <v>900</v>
      </c>
      <c r="I309">
        <v>0</v>
      </c>
      <c r="J309" t="str">
        <f>_xlfn.XLOOKUP(tblOrders[[#This Row],[ProductID]],Products!$A$2:$A$9,Products!$B$2:$B$9,"Unknown")</f>
        <v>Keyboard</v>
      </c>
      <c r="K309" t="str">
        <f>_xlfn.XLOOKUP(tblOrders[[#This Row],[ProductID]],Products!$A$2:$A$9,Products!$C$2:$C$9,"Unknown")</f>
        <v>Accessories</v>
      </c>
      <c r="L309">
        <f>_xlfn.XLOOKUP(tblOrders[[#This Row],[ProductID]],Products!$A$2:$A$9,Products!$D$2:$D$9,0)</f>
        <v>600</v>
      </c>
      <c r="M309">
        <f>tblOrders[[#This Row],[Quantity]]*tblOrders[[#This Row],[UnitPrice]]*(1-tblOrders[[#This Row],[Discount]])</f>
        <v>8100</v>
      </c>
      <c r="N309">
        <f>tblOrders[[#This Row],[Quantity]]*tblOrders[[#This Row],[UnitCost]]</f>
        <v>5400</v>
      </c>
      <c r="O309">
        <f>tblOrders[[#This Row],[Revenue]]-tblOrders[[#This Row],[Cost]]</f>
        <v>2700</v>
      </c>
      <c r="P309" t="str">
        <f>TEXT(tblOrders[[#This Row],[OrderDate]],"mmm")</f>
        <v>Dec</v>
      </c>
    </row>
    <row r="310" spans="1:16" x14ac:dyDescent="0.25">
      <c r="A310" t="s">
        <v>24</v>
      </c>
      <c r="B310" s="2">
        <v>45932</v>
      </c>
      <c r="C310" t="s">
        <v>25</v>
      </c>
      <c r="D310" t="s">
        <v>21</v>
      </c>
      <c r="E310" t="s">
        <v>22</v>
      </c>
      <c r="F310" t="s">
        <v>13</v>
      </c>
      <c r="G310">
        <v>4</v>
      </c>
      <c r="H310">
        <v>2000</v>
      </c>
      <c r="I310">
        <v>0.05</v>
      </c>
      <c r="J310" t="str">
        <f>_xlfn.XLOOKUP(tblOrders[[#This Row],[ProductID]],Products!$A$2:$A$9,Products!$B$2:$B$9,"Unknown")</f>
        <v>Headset</v>
      </c>
      <c r="K310" t="str">
        <f>_xlfn.XLOOKUP(tblOrders[[#This Row],[ProductID]],Products!$A$2:$A$9,Products!$C$2:$C$9,"Unknown")</f>
        <v>Accessories</v>
      </c>
      <c r="L310">
        <f>_xlfn.XLOOKUP(tblOrders[[#This Row],[ProductID]],Products!$A$2:$A$9,Products!$D$2:$D$9,0)</f>
        <v>1300</v>
      </c>
      <c r="M310">
        <f>tblOrders[[#This Row],[Quantity]]*tblOrders[[#This Row],[UnitPrice]]*(1-tblOrders[[#This Row],[Discount]])</f>
        <v>7600</v>
      </c>
      <c r="N310">
        <f>tblOrders[[#This Row],[Quantity]]*tblOrders[[#This Row],[UnitCost]]</f>
        <v>5200</v>
      </c>
      <c r="O310">
        <f>tblOrders[[#This Row],[Revenue]]-tblOrders[[#This Row],[Cost]]</f>
        <v>2400</v>
      </c>
      <c r="P310" t="str">
        <f>TEXT(tblOrders[[#This Row],[OrderDate]],"mmm")</f>
        <v>Oct</v>
      </c>
    </row>
    <row r="311" spans="1:16" x14ac:dyDescent="0.25">
      <c r="A311" t="s">
        <v>818</v>
      </c>
      <c r="B311" s="2">
        <v>45695</v>
      </c>
      <c r="C311" t="s">
        <v>30</v>
      </c>
      <c r="D311" t="s">
        <v>21</v>
      </c>
      <c r="E311" t="s">
        <v>22</v>
      </c>
      <c r="F311" t="s">
        <v>43</v>
      </c>
      <c r="G311">
        <v>13</v>
      </c>
      <c r="H311">
        <v>1500</v>
      </c>
      <c r="I311">
        <v>0.05</v>
      </c>
      <c r="J311" t="str">
        <f>_xlfn.XLOOKUP(tblOrders[[#This Row],[ProductID]],Products!$A$2:$A$9,Products!$B$2:$B$9,"Unknown")</f>
        <v>Webcam</v>
      </c>
      <c r="K311" t="str">
        <f>_xlfn.XLOOKUP(tblOrders[[#This Row],[ProductID]],Products!$A$2:$A$9,Products!$C$2:$C$9,"Unknown")</f>
        <v>Accessories</v>
      </c>
      <c r="L311">
        <f>_xlfn.XLOOKUP(tblOrders[[#This Row],[ProductID]],Products!$A$2:$A$9,Products!$D$2:$D$9,0)</f>
        <v>980</v>
      </c>
      <c r="M311">
        <f>tblOrders[[#This Row],[Quantity]]*tblOrders[[#This Row],[UnitPrice]]*(1-tblOrders[[#This Row],[Discount]])</f>
        <v>18525</v>
      </c>
      <c r="N311">
        <f>tblOrders[[#This Row],[Quantity]]*tblOrders[[#This Row],[UnitCost]]</f>
        <v>12740</v>
      </c>
      <c r="O311">
        <f>tblOrders[[#This Row],[Revenue]]-tblOrders[[#This Row],[Cost]]</f>
        <v>5785</v>
      </c>
      <c r="P311" t="str">
        <f>TEXT(tblOrders[[#This Row],[OrderDate]],"mmm")</f>
        <v>Feb</v>
      </c>
    </row>
    <row r="312" spans="1:16" x14ac:dyDescent="0.25">
      <c r="A312" t="s">
        <v>835</v>
      </c>
      <c r="B312" s="2">
        <v>45694</v>
      </c>
      <c r="C312" t="s">
        <v>73</v>
      </c>
      <c r="D312" t="s">
        <v>39</v>
      </c>
      <c r="E312" t="s">
        <v>40</v>
      </c>
      <c r="F312" t="s">
        <v>34</v>
      </c>
      <c r="G312">
        <v>13</v>
      </c>
      <c r="H312">
        <v>55000</v>
      </c>
      <c r="I312">
        <v>0.1</v>
      </c>
      <c r="J312" t="str">
        <f>_xlfn.XLOOKUP(tblOrders[[#This Row],[ProductID]],Products!$A$2:$A$9,Products!$B$2:$B$9,"Unknown")</f>
        <v>Laptop</v>
      </c>
      <c r="K312" t="str">
        <f>_xlfn.XLOOKUP(tblOrders[[#This Row],[ProductID]],Products!$A$2:$A$9,Products!$C$2:$C$9,"Unknown")</f>
        <v>Electronics</v>
      </c>
      <c r="L312">
        <f>_xlfn.XLOOKUP(tblOrders[[#This Row],[ProductID]],Products!$A$2:$A$9,Products!$D$2:$D$9,0)</f>
        <v>41000</v>
      </c>
      <c r="M312">
        <f>tblOrders[[#This Row],[Quantity]]*tblOrders[[#This Row],[UnitPrice]]*(1-tblOrders[[#This Row],[Discount]])</f>
        <v>643500</v>
      </c>
      <c r="N312">
        <f>tblOrders[[#This Row],[Quantity]]*tblOrders[[#This Row],[UnitCost]]</f>
        <v>533000</v>
      </c>
      <c r="O312">
        <f>tblOrders[[#This Row],[Revenue]]-tblOrders[[#This Row],[Cost]]</f>
        <v>110500</v>
      </c>
      <c r="P312" t="str">
        <f>TEXT(tblOrders[[#This Row],[OrderDate]],"mmm")</f>
        <v>Feb</v>
      </c>
    </row>
    <row r="313" spans="1:16" x14ac:dyDescent="0.25">
      <c r="A313" t="s">
        <v>454</v>
      </c>
      <c r="B313" s="2">
        <v>45735</v>
      </c>
      <c r="C313" t="s">
        <v>10</v>
      </c>
      <c r="D313" t="s">
        <v>16</v>
      </c>
      <c r="E313" t="s">
        <v>33</v>
      </c>
      <c r="F313" t="s">
        <v>69</v>
      </c>
      <c r="G313">
        <v>2</v>
      </c>
      <c r="H313">
        <v>12000</v>
      </c>
      <c r="I313">
        <v>0</v>
      </c>
      <c r="J313" t="str">
        <f>_xlfn.XLOOKUP(tblOrders[[#This Row],[ProductID]],Products!$A$2:$A$9,Products!$B$2:$B$9,"Unknown")</f>
        <v>Monitor</v>
      </c>
      <c r="K313" t="str">
        <f>_xlfn.XLOOKUP(tblOrders[[#This Row],[ProductID]],Products!$A$2:$A$9,Products!$C$2:$C$9,"Unknown")</f>
        <v>Electronics</v>
      </c>
      <c r="L313">
        <f>_xlfn.XLOOKUP(tblOrders[[#This Row],[ProductID]],Products!$A$2:$A$9,Products!$D$2:$D$9,0)</f>
        <v>9000</v>
      </c>
      <c r="M313">
        <f>tblOrders[[#This Row],[Quantity]]*tblOrders[[#This Row],[UnitPrice]]*(1-tblOrders[[#This Row],[Discount]])</f>
        <v>24000</v>
      </c>
      <c r="N313">
        <f>tblOrders[[#This Row],[Quantity]]*tblOrders[[#This Row],[UnitCost]]</f>
        <v>18000</v>
      </c>
      <c r="O313">
        <f>tblOrders[[#This Row],[Revenue]]-tblOrders[[#This Row],[Cost]]</f>
        <v>6000</v>
      </c>
      <c r="P313" t="str">
        <f>TEXT(tblOrders[[#This Row],[OrderDate]],"mmm")</f>
        <v>Mar</v>
      </c>
    </row>
    <row r="314" spans="1:16" x14ac:dyDescent="0.25">
      <c r="A314" t="s">
        <v>476</v>
      </c>
      <c r="B314" s="2">
        <v>45770</v>
      </c>
      <c r="C314" t="s">
        <v>153</v>
      </c>
      <c r="D314" t="s">
        <v>16</v>
      </c>
      <c r="E314" t="s">
        <v>33</v>
      </c>
      <c r="F314" t="s">
        <v>18</v>
      </c>
      <c r="G314">
        <v>7</v>
      </c>
      <c r="H314">
        <v>18000</v>
      </c>
      <c r="I314">
        <v>0</v>
      </c>
      <c r="J314" t="str">
        <f>_xlfn.XLOOKUP(tblOrders[[#This Row],[ProductID]],Products!$A$2:$A$9,Products!$B$2:$B$9,"Unknown")</f>
        <v>Tablet</v>
      </c>
      <c r="K314" t="str">
        <f>_xlfn.XLOOKUP(tblOrders[[#This Row],[ProductID]],Products!$A$2:$A$9,Products!$C$2:$C$9,"Unknown")</f>
        <v>Electronics</v>
      </c>
      <c r="L314">
        <f>_xlfn.XLOOKUP(tblOrders[[#This Row],[ProductID]],Products!$A$2:$A$9,Products!$D$2:$D$9,0)</f>
        <v>13500</v>
      </c>
      <c r="M314">
        <f>tblOrders[[#This Row],[Quantity]]*tblOrders[[#This Row],[UnitPrice]]*(1-tblOrders[[#This Row],[Discount]])</f>
        <v>126000</v>
      </c>
      <c r="N314">
        <f>tblOrders[[#This Row],[Quantity]]*tblOrders[[#This Row],[UnitCost]]</f>
        <v>94500</v>
      </c>
      <c r="O314">
        <f>tblOrders[[#This Row],[Revenue]]-tblOrders[[#This Row],[Cost]]</f>
        <v>31500</v>
      </c>
      <c r="P314" t="str">
        <f>TEXT(tblOrders[[#This Row],[OrderDate]],"mmm")</f>
        <v>Apr</v>
      </c>
    </row>
    <row r="315" spans="1:16" x14ac:dyDescent="0.25">
      <c r="A315" t="s">
        <v>854</v>
      </c>
      <c r="B315" s="2">
        <v>45673</v>
      </c>
      <c r="C315" t="s">
        <v>52</v>
      </c>
      <c r="D315" t="s">
        <v>39</v>
      </c>
      <c r="E315" t="s">
        <v>40</v>
      </c>
      <c r="F315" t="s">
        <v>43</v>
      </c>
      <c r="G315">
        <v>2</v>
      </c>
      <c r="H315">
        <v>1500</v>
      </c>
      <c r="I315">
        <v>0</v>
      </c>
      <c r="J315" t="str">
        <f>_xlfn.XLOOKUP(tblOrders[[#This Row],[ProductID]],Products!$A$2:$A$9,Products!$B$2:$B$9,"Unknown")</f>
        <v>Webcam</v>
      </c>
      <c r="K315" t="str">
        <f>_xlfn.XLOOKUP(tblOrders[[#This Row],[ProductID]],Products!$A$2:$A$9,Products!$C$2:$C$9,"Unknown")</f>
        <v>Accessories</v>
      </c>
      <c r="L315">
        <f>_xlfn.XLOOKUP(tblOrders[[#This Row],[ProductID]],Products!$A$2:$A$9,Products!$D$2:$D$9,0)</f>
        <v>980</v>
      </c>
      <c r="M315">
        <f>tblOrders[[#This Row],[Quantity]]*tblOrders[[#This Row],[UnitPrice]]*(1-tblOrders[[#This Row],[Discount]])</f>
        <v>3000</v>
      </c>
      <c r="N315">
        <f>tblOrders[[#This Row],[Quantity]]*tblOrders[[#This Row],[UnitCost]]</f>
        <v>1960</v>
      </c>
      <c r="O315">
        <f>tblOrders[[#This Row],[Revenue]]-tblOrders[[#This Row],[Cost]]</f>
        <v>1040</v>
      </c>
      <c r="P315" t="str">
        <f>TEXT(tblOrders[[#This Row],[OrderDate]],"mmm")</f>
        <v>Jan</v>
      </c>
    </row>
    <row r="316" spans="1:16" x14ac:dyDescent="0.25">
      <c r="A316" t="s">
        <v>644</v>
      </c>
      <c r="B316" s="2">
        <v>45930</v>
      </c>
      <c r="C316" t="s">
        <v>107</v>
      </c>
      <c r="D316" t="s">
        <v>16</v>
      </c>
      <c r="E316" t="s">
        <v>33</v>
      </c>
      <c r="F316" t="s">
        <v>55</v>
      </c>
      <c r="G316">
        <v>9</v>
      </c>
      <c r="H316">
        <v>8000</v>
      </c>
      <c r="I316">
        <v>0.15</v>
      </c>
      <c r="J316" t="str">
        <f>_xlfn.XLOOKUP(tblOrders[[#This Row],[ProductID]],Products!$A$2:$A$9,Products!$B$2:$B$9,"Unknown")</f>
        <v>Printer</v>
      </c>
      <c r="K316" t="str">
        <f>_xlfn.XLOOKUP(tblOrders[[#This Row],[ProductID]],Products!$A$2:$A$9,Products!$C$2:$C$9,"Unknown")</f>
        <v>Electronics</v>
      </c>
      <c r="L316">
        <f>_xlfn.XLOOKUP(tblOrders[[#This Row],[ProductID]],Products!$A$2:$A$9,Products!$D$2:$D$9,0)</f>
        <v>6200</v>
      </c>
      <c r="M316">
        <f>tblOrders[[#This Row],[Quantity]]*tblOrders[[#This Row],[UnitPrice]]*(1-tblOrders[[#This Row],[Discount]])</f>
        <v>61200</v>
      </c>
      <c r="N316">
        <f>tblOrders[[#This Row],[Quantity]]*tblOrders[[#This Row],[UnitCost]]</f>
        <v>55800</v>
      </c>
      <c r="O316">
        <f>tblOrders[[#This Row],[Revenue]]-tblOrders[[#This Row],[Cost]]</f>
        <v>5400</v>
      </c>
      <c r="P316" t="str">
        <f>TEXT(tblOrders[[#This Row],[OrderDate]],"mmm")</f>
        <v>Sep</v>
      </c>
    </row>
    <row r="317" spans="1:16" x14ac:dyDescent="0.25">
      <c r="A317" t="s">
        <v>301</v>
      </c>
      <c r="B317" s="2">
        <v>45665</v>
      </c>
      <c r="C317" t="s">
        <v>25</v>
      </c>
      <c r="D317" t="s">
        <v>16</v>
      </c>
      <c r="E317" t="s">
        <v>17</v>
      </c>
      <c r="F317" t="s">
        <v>64</v>
      </c>
      <c r="G317">
        <v>14</v>
      </c>
      <c r="H317">
        <v>500</v>
      </c>
      <c r="I317">
        <v>0.15</v>
      </c>
      <c r="J317" t="str">
        <f>_xlfn.XLOOKUP(tblOrders[[#This Row],[ProductID]],Products!$A$2:$A$9,Products!$B$2:$B$9,"Unknown")</f>
        <v>Mouse</v>
      </c>
      <c r="K317" t="str">
        <f>_xlfn.XLOOKUP(tblOrders[[#This Row],[ProductID]],Products!$A$2:$A$9,Products!$C$2:$C$9,"Unknown")</f>
        <v>Accessories</v>
      </c>
      <c r="L317">
        <f>_xlfn.XLOOKUP(tblOrders[[#This Row],[ProductID]],Products!$A$2:$A$9,Products!$D$2:$D$9,0)</f>
        <v>320</v>
      </c>
      <c r="M317">
        <f>tblOrders[[#This Row],[Quantity]]*tblOrders[[#This Row],[UnitPrice]]*(1-tblOrders[[#This Row],[Discount]])</f>
        <v>5950</v>
      </c>
      <c r="N317">
        <f>tblOrders[[#This Row],[Quantity]]*tblOrders[[#This Row],[UnitCost]]</f>
        <v>4480</v>
      </c>
      <c r="O317">
        <f>tblOrders[[#This Row],[Revenue]]-tblOrders[[#This Row],[Cost]]</f>
        <v>1470</v>
      </c>
      <c r="P317" t="str">
        <f>TEXT(tblOrders[[#This Row],[OrderDate]],"mmm")</f>
        <v>Jan</v>
      </c>
    </row>
    <row r="318" spans="1:16" x14ac:dyDescent="0.25">
      <c r="A318" t="s">
        <v>199</v>
      </c>
      <c r="B318" s="2">
        <v>46013</v>
      </c>
      <c r="C318" t="s">
        <v>132</v>
      </c>
      <c r="D318" t="s">
        <v>11</v>
      </c>
      <c r="E318" t="s">
        <v>46</v>
      </c>
      <c r="F318" t="s">
        <v>69</v>
      </c>
      <c r="G318">
        <v>13</v>
      </c>
      <c r="H318">
        <v>12000</v>
      </c>
      <c r="I318">
        <v>0</v>
      </c>
      <c r="J318" t="str">
        <f>_xlfn.XLOOKUP(tblOrders[[#This Row],[ProductID]],Products!$A$2:$A$9,Products!$B$2:$B$9,"Unknown")</f>
        <v>Monitor</v>
      </c>
      <c r="K318" t="str">
        <f>_xlfn.XLOOKUP(tblOrders[[#This Row],[ProductID]],Products!$A$2:$A$9,Products!$C$2:$C$9,"Unknown")</f>
        <v>Electronics</v>
      </c>
      <c r="L318">
        <f>_xlfn.XLOOKUP(tblOrders[[#This Row],[ProductID]],Products!$A$2:$A$9,Products!$D$2:$D$9,0)</f>
        <v>9000</v>
      </c>
      <c r="M318">
        <f>tblOrders[[#This Row],[Quantity]]*tblOrders[[#This Row],[UnitPrice]]*(1-tblOrders[[#This Row],[Discount]])</f>
        <v>156000</v>
      </c>
      <c r="N318">
        <f>tblOrders[[#This Row],[Quantity]]*tblOrders[[#This Row],[UnitCost]]</f>
        <v>117000</v>
      </c>
      <c r="O318">
        <f>tblOrders[[#This Row],[Revenue]]-tblOrders[[#This Row],[Cost]]</f>
        <v>39000</v>
      </c>
      <c r="P318" t="str">
        <f>TEXT(tblOrders[[#This Row],[OrderDate]],"mmm")</f>
        <v>Dec</v>
      </c>
    </row>
    <row r="319" spans="1:16" x14ac:dyDescent="0.25">
      <c r="A319" t="s">
        <v>116</v>
      </c>
      <c r="B319" s="2">
        <v>45679</v>
      </c>
      <c r="C319" t="s">
        <v>117</v>
      </c>
      <c r="D319" t="s">
        <v>11</v>
      </c>
      <c r="E319" t="s">
        <v>46</v>
      </c>
      <c r="F319" t="s">
        <v>23</v>
      </c>
      <c r="G319">
        <v>2</v>
      </c>
      <c r="H319">
        <v>900</v>
      </c>
      <c r="I319">
        <v>0</v>
      </c>
      <c r="J319" t="str">
        <f>_xlfn.XLOOKUP(tblOrders[[#This Row],[ProductID]],Products!$A$2:$A$9,Products!$B$2:$B$9,"Unknown")</f>
        <v>Keyboard</v>
      </c>
      <c r="K319" t="str">
        <f>_xlfn.XLOOKUP(tblOrders[[#This Row],[ProductID]],Products!$A$2:$A$9,Products!$C$2:$C$9,"Unknown")</f>
        <v>Accessories</v>
      </c>
      <c r="L319">
        <f>_xlfn.XLOOKUP(tblOrders[[#This Row],[ProductID]],Products!$A$2:$A$9,Products!$D$2:$D$9,0)</f>
        <v>600</v>
      </c>
      <c r="M319">
        <f>tblOrders[[#This Row],[Quantity]]*tblOrders[[#This Row],[UnitPrice]]*(1-tblOrders[[#This Row],[Discount]])</f>
        <v>1800</v>
      </c>
      <c r="N319">
        <f>tblOrders[[#This Row],[Quantity]]*tblOrders[[#This Row],[UnitCost]]</f>
        <v>1200</v>
      </c>
      <c r="O319">
        <f>tblOrders[[#This Row],[Revenue]]-tblOrders[[#This Row],[Cost]]</f>
        <v>600</v>
      </c>
      <c r="P319" t="str">
        <f>TEXT(tblOrders[[#This Row],[OrderDate]],"mmm")</f>
        <v>Jan</v>
      </c>
    </row>
    <row r="320" spans="1:16" x14ac:dyDescent="0.25">
      <c r="A320" t="s">
        <v>753</v>
      </c>
      <c r="B320" s="2">
        <v>45815</v>
      </c>
      <c r="C320" t="s">
        <v>97</v>
      </c>
      <c r="D320" t="s">
        <v>11</v>
      </c>
      <c r="E320" t="s">
        <v>46</v>
      </c>
      <c r="F320" t="s">
        <v>34</v>
      </c>
      <c r="G320">
        <v>2</v>
      </c>
      <c r="H320">
        <v>55000</v>
      </c>
      <c r="I320">
        <v>0.15</v>
      </c>
      <c r="J320" t="str">
        <f>_xlfn.XLOOKUP(tblOrders[[#This Row],[ProductID]],Products!$A$2:$A$9,Products!$B$2:$B$9,"Unknown")</f>
        <v>Laptop</v>
      </c>
      <c r="K320" t="str">
        <f>_xlfn.XLOOKUP(tblOrders[[#This Row],[ProductID]],Products!$A$2:$A$9,Products!$C$2:$C$9,"Unknown")</f>
        <v>Electronics</v>
      </c>
      <c r="L320">
        <f>_xlfn.XLOOKUP(tblOrders[[#This Row],[ProductID]],Products!$A$2:$A$9,Products!$D$2:$D$9,0)</f>
        <v>41000</v>
      </c>
      <c r="M320">
        <f>tblOrders[[#This Row],[Quantity]]*tblOrders[[#This Row],[UnitPrice]]*(1-tblOrders[[#This Row],[Discount]])</f>
        <v>93500</v>
      </c>
      <c r="N320">
        <f>tblOrders[[#This Row],[Quantity]]*tblOrders[[#This Row],[UnitCost]]</f>
        <v>82000</v>
      </c>
      <c r="O320">
        <f>tblOrders[[#This Row],[Revenue]]-tblOrders[[#This Row],[Cost]]</f>
        <v>11500</v>
      </c>
      <c r="P320" t="str">
        <f>TEXT(tblOrders[[#This Row],[OrderDate]],"mmm")</f>
        <v>Jun</v>
      </c>
    </row>
    <row r="321" spans="1:16" x14ac:dyDescent="0.25">
      <c r="A321" t="s">
        <v>432</v>
      </c>
      <c r="B321" s="2">
        <v>45816</v>
      </c>
      <c r="C321" t="s">
        <v>54</v>
      </c>
      <c r="D321" t="s">
        <v>39</v>
      </c>
      <c r="E321" t="s">
        <v>76</v>
      </c>
      <c r="F321" t="s">
        <v>55</v>
      </c>
      <c r="G321">
        <v>3</v>
      </c>
      <c r="H321">
        <v>8000</v>
      </c>
      <c r="I321">
        <v>0</v>
      </c>
      <c r="J321" t="str">
        <f>_xlfn.XLOOKUP(tblOrders[[#This Row],[ProductID]],Products!$A$2:$A$9,Products!$B$2:$B$9,"Unknown")</f>
        <v>Printer</v>
      </c>
      <c r="K321" t="str">
        <f>_xlfn.XLOOKUP(tblOrders[[#This Row],[ProductID]],Products!$A$2:$A$9,Products!$C$2:$C$9,"Unknown")</f>
        <v>Electronics</v>
      </c>
      <c r="L321">
        <f>_xlfn.XLOOKUP(tblOrders[[#This Row],[ProductID]],Products!$A$2:$A$9,Products!$D$2:$D$9,0)</f>
        <v>6200</v>
      </c>
      <c r="M321">
        <f>tblOrders[[#This Row],[Quantity]]*tblOrders[[#This Row],[UnitPrice]]*(1-tblOrders[[#This Row],[Discount]])</f>
        <v>24000</v>
      </c>
      <c r="N321">
        <f>tblOrders[[#This Row],[Quantity]]*tblOrders[[#This Row],[UnitCost]]</f>
        <v>18600</v>
      </c>
      <c r="O321">
        <f>tblOrders[[#This Row],[Revenue]]-tblOrders[[#This Row],[Cost]]</f>
        <v>5400</v>
      </c>
      <c r="P321" t="str">
        <f>TEXT(tblOrders[[#This Row],[OrderDate]],"mmm")</f>
        <v>Jun</v>
      </c>
    </row>
    <row r="322" spans="1:16" x14ac:dyDescent="0.25">
      <c r="A322" t="s">
        <v>512</v>
      </c>
      <c r="B322" s="2">
        <v>45875</v>
      </c>
      <c r="C322" t="s">
        <v>78</v>
      </c>
      <c r="D322" t="s">
        <v>16</v>
      </c>
      <c r="E322" t="s">
        <v>17</v>
      </c>
      <c r="F322" t="s">
        <v>13</v>
      </c>
      <c r="G322">
        <v>5</v>
      </c>
      <c r="H322">
        <v>2000</v>
      </c>
      <c r="I322">
        <v>0.05</v>
      </c>
      <c r="J322" t="str">
        <f>_xlfn.XLOOKUP(tblOrders[[#This Row],[ProductID]],Products!$A$2:$A$9,Products!$B$2:$B$9,"Unknown")</f>
        <v>Headset</v>
      </c>
      <c r="K322" t="str">
        <f>_xlfn.XLOOKUP(tblOrders[[#This Row],[ProductID]],Products!$A$2:$A$9,Products!$C$2:$C$9,"Unknown")</f>
        <v>Accessories</v>
      </c>
      <c r="L322">
        <f>_xlfn.XLOOKUP(tblOrders[[#This Row],[ProductID]],Products!$A$2:$A$9,Products!$D$2:$D$9,0)</f>
        <v>1300</v>
      </c>
      <c r="M322">
        <f>tblOrders[[#This Row],[Quantity]]*tblOrders[[#This Row],[UnitPrice]]*(1-tblOrders[[#This Row],[Discount]])</f>
        <v>9500</v>
      </c>
      <c r="N322">
        <f>tblOrders[[#This Row],[Quantity]]*tblOrders[[#This Row],[UnitCost]]</f>
        <v>6500</v>
      </c>
      <c r="O322">
        <f>tblOrders[[#This Row],[Revenue]]-tblOrders[[#This Row],[Cost]]</f>
        <v>3000</v>
      </c>
      <c r="P322" t="str">
        <f>TEXT(tblOrders[[#This Row],[OrderDate]],"mmm")</f>
        <v>Aug</v>
      </c>
    </row>
    <row r="323" spans="1:16" x14ac:dyDescent="0.25">
      <c r="A323" t="s">
        <v>374</v>
      </c>
      <c r="B323" s="2">
        <v>45706</v>
      </c>
      <c r="C323" t="s">
        <v>82</v>
      </c>
      <c r="D323" t="s">
        <v>16</v>
      </c>
      <c r="E323" t="s">
        <v>17</v>
      </c>
      <c r="F323" t="s">
        <v>13</v>
      </c>
      <c r="G323">
        <v>4</v>
      </c>
      <c r="H323">
        <v>2000</v>
      </c>
      <c r="I323">
        <v>0.05</v>
      </c>
      <c r="J323" t="str">
        <f>_xlfn.XLOOKUP(tblOrders[[#This Row],[ProductID]],Products!$A$2:$A$9,Products!$B$2:$B$9,"Unknown")</f>
        <v>Headset</v>
      </c>
      <c r="K323" t="str">
        <f>_xlfn.XLOOKUP(tblOrders[[#This Row],[ProductID]],Products!$A$2:$A$9,Products!$C$2:$C$9,"Unknown")</f>
        <v>Accessories</v>
      </c>
      <c r="L323">
        <f>_xlfn.XLOOKUP(tblOrders[[#This Row],[ProductID]],Products!$A$2:$A$9,Products!$D$2:$D$9,0)</f>
        <v>1300</v>
      </c>
      <c r="M323">
        <f>tblOrders[[#This Row],[Quantity]]*tblOrders[[#This Row],[UnitPrice]]*(1-tblOrders[[#This Row],[Discount]])</f>
        <v>7600</v>
      </c>
      <c r="N323">
        <f>tblOrders[[#This Row],[Quantity]]*tblOrders[[#This Row],[UnitCost]]</f>
        <v>5200</v>
      </c>
      <c r="O323">
        <f>tblOrders[[#This Row],[Revenue]]-tblOrders[[#This Row],[Cost]]</f>
        <v>2400</v>
      </c>
      <c r="P323" t="str">
        <f>TEXT(tblOrders[[#This Row],[OrderDate]],"mmm")</f>
        <v>Feb</v>
      </c>
    </row>
    <row r="324" spans="1:16" x14ac:dyDescent="0.25">
      <c r="A324" t="s">
        <v>505</v>
      </c>
      <c r="B324" s="2">
        <v>45803</v>
      </c>
      <c r="C324" t="s">
        <v>85</v>
      </c>
      <c r="D324" t="s">
        <v>21</v>
      </c>
      <c r="E324" t="s">
        <v>28</v>
      </c>
      <c r="F324" t="s">
        <v>23</v>
      </c>
      <c r="G324">
        <v>14</v>
      </c>
      <c r="H324">
        <v>900</v>
      </c>
      <c r="I324">
        <v>0</v>
      </c>
      <c r="J324" t="str">
        <f>_xlfn.XLOOKUP(tblOrders[[#This Row],[ProductID]],Products!$A$2:$A$9,Products!$B$2:$B$9,"Unknown")</f>
        <v>Keyboard</v>
      </c>
      <c r="K324" t="str">
        <f>_xlfn.XLOOKUP(tblOrders[[#This Row],[ProductID]],Products!$A$2:$A$9,Products!$C$2:$C$9,"Unknown")</f>
        <v>Accessories</v>
      </c>
      <c r="L324">
        <f>_xlfn.XLOOKUP(tblOrders[[#This Row],[ProductID]],Products!$A$2:$A$9,Products!$D$2:$D$9,0)</f>
        <v>600</v>
      </c>
      <c r="M324">
        <f>tblOrders[[#This Row],[Quantity]]*tblOrders[[#This Row],[UnitPrice]]*(1-tblOrders[[#This Row],[Discount]])</f>
        <v>12600</v>
      </c>
      <c r="N324">
        <f>tblOrders[[#This Row],[Quantity]]*tblOrders[[#This Row],[UnitCost]]</f>
        <v>8400</v>
      </c>
      <c r="O324">
        <f>tblOrders[[#This Row],[Revenue]]-tblOrders[[#This Row],[Cost]]</f>
        <v>4200</v>
      </c>
      <c r="P324" t="str">
        <f>TEXT(tblOrders[[#This Row],[OrderDate]],"mmm")</f>
        <v>May</v>
      </c>
    </row>
    <row r="325" spans="1:16" x14ac:dyDescent="0.25">
      <c r="A325" t="s">
        <v>699</v>
      </c>
      <c r="B325" s="2">
        <v>45773</v>
      </c>
      <c r="C325" t="s">
        <v>160</v>
      </c>
      <c r="D325" t="s">
        <v>39</v>
      </c>
      <c r="E325" t="s">
        <v>40</v>
      </c>
      <c r="F325" t="s">
        <v>13</v>
      </c>
      <c r="G325">
        <v>4</v>
      </c>
      <c r="H325">
        <v>2000</v>
      </c>
      <c r="I325">
        <v>0.15</v>
      </c>
      <c r="J325" t="str">
        <f>_xlfn.XLOOKUP(tblOrders[[#This Row],[ProductID]],Products!$A$2:$A$9,Products!$B$2:$B$9,"Unknown")</f>
        <v>Headset</v>
      </c>
      <c r="K325" t="str">
        <f>_xlfn.XLOOKUP(tblOrders[[#This Row],[ProductID]],Products!$A$2:$A$9,Products!$C$2:$C$9,"Unknown")</f>
        <v>Accessories</v>
      </c>
      <c r="L325">
        <f>_xlfn.XLOOKUP(tblOrders[[#This Row],[ProductID]],Products!$A$2:$A$9,Products!$D$2:$D$9,0)</f>
        <v>1300</v>
      </c>
      <c r="M325">
        <f>tblOrders[[#This Row],[Quantity]]*tblOrders[[#This Row],[UnitPrice]]*(1-tblOrders[[#This Row],[Discount]])</f>
        <v>6800</v>
      </c>
      <c r="N325">
        <f>tblOrders[[#This Row],[Quantity]]*tblOrders[[#This Row],[UnitCost]]</f>
        <v>5200</v>
      </c>
      <c r="O325">
        <f>tblOrders[[#This Row],[Revenue]]-tblOrders[[#This Row],[Cost]]</f>
        <v>1600</v>
      </c>
      <c r="P325" t="str">
        <f>TEXT(tblOrders[[#This Row],[OrderDate]],"mmm")</f>
        <v>Apr</v>
      </c>
    </row>
    <row r="326" spans="1:16" x14ac:dyDescent="0.25">
      <c r="A326" t="s">
        <v>156</v>
      </c>
      <c r="B326" s="2">
        <v>45887</v>
      </c>
      <c r="C326" t="s">
        <v>32</v>
      </c>
      <c r="D326" t="s">
        <v>21</v>
      </c>
      <c r="E326" t="s">
        <v>28</v>
      </c>
      <c r="F326" t="s">
        <v>64</v>
      </c>
      <c r="G326">
        <v>7</v>
      </c>
      <c r="H326">
        <v>500</v>
      </c>
      <c r="I326">
        <v>0</v>
      </c>
      <c r="J326" t="str">
        <f>_xlfn.XLOOKUP(tblOrders[[#This Row],[ProductID]],Products!$A$2:$A$9,Products!$B$2:$B$9,"Unknown")</f>
        <v>Mouse</v>
      </c>
      <c r="K326" t="str">
        <f>_xlfn.XLOOKUP(tblOrders[[#This Row],[ProductID]],Products!$A$2:$A$9,Products!$C$2:$C$9,"Unknown")</f>
        <v>Accessories</v>
      </c>
      <c r="L326">
        <f>_xlfn.XLOOKUP(tblOrders[[#This Row],[ProductID]],Products!$A$2:$A$9,Products!$D$2:$D$9,0)</f>
        <v>320</v>
      </c>
      <c r="M326">
        <f>tblOrders[[#This Row],[Quantity]]*tblOrders[[#This Row],[UnitPrice]]*(1-tblOrders[[#This Row],[Discount]])</f>
        <v>3500</v>
      </c>
      <c r="N326">
        <f>tblOrders[[#This Row],[Quantity]]*tblOrders[[#This Row],[UnitCost]]</f>
        <v>2240</v>
      </c>
      <c r="O326">
        <f>tblOrders[[#This Row],[Revenue]]-tblOrders[[#This Row],[Cost]]</f>
        <v>1260</v>
      </c>
      <c r="P326" t="str">
        <f>TEXT(tblOrders[[#This Row],[OrderDate]],"mmm")</f>
        <v>Aug</v>
      </c>
    </row>
    <row r="327" spans="1:16" x14ac:dyDescent="0.25">
      <c r="A327" t="s">
        <v>871</v>
      </c>
      <c r="B327" s="2">
        <v>45995</v>
      </c>
      <c r="C327" t="s">
        <v>38</v>
      </c>
      <c r="D327" t="s">
        <v>16</v>
      </c>
      <c r="E327" t="s">
        <v>17</v>
      </c>
      <c r="F327" t="s">
        <v>23</v>
      </c>
      <c r="G327">
        <v>11</v>
      </c>
      <c r="H327">
        <v>900</v>
      </c>
      <c r="I327">
        <v>0.15</v>
      </c>
      <c r="J327" t="str">
        <f>_xlfn.XLOOKUP(tblOrders[[#This Row],[ProductID]],Products!$A$2:$A$9,Products!$B$2:$B$9,"Unknown")</f>
        <v>Keyboard</v>
      </c>
      <c r="K327" t="str">
        <f>_xlfn.XLOOKUP(tblOrders[[#This Row],[ProductID]],Products!$A$2:$A$9,Products!$C$2:$C$9,"Unknown")</f>
        <v>Accessories</v>
      </c>
      <c r="L327">
        <f>_xlfn.XLOOKUP(tblOrders[[#This Row],[ProductID]],Products!$A$2:$A$9,Products!$D$2:$D$9,0)</f>
        <v>600</v>
      </c>
      <c r="M327">
        <f>tblOrders[[#This Row],[Quantity]]*tblOrders[[#This Row],[UnitPrice]]*(1-tblOrders[[#This Row],[Discount]])</f>
        <v>8415</v>
      </c>
      <c r="N327">
        <f>tblOrders[[#This Row],[Quantity]]*tblOrders[[#This Row],[UnitCost]]</f>
        <v>6600</v>
      </c>
      <c r="O327">
        <f>tblOrders[[#This Row],[Revenue]]-tblOrders[[#This Row],[Cost]]</f>
        <v>1815</v>
      </c>
      <c r="P327" t="str">
        <f>TEXT(tblOrders[[#This Row],[OrderDate]],"mmm")</f>
        <v>Dec</v>
      </c>
    </row>
    <row r="328" spans="1:16" x14ac:dyDescent="0.25">
      <c r="A328" t="s">
        <v>999</v>
      </c>
      <c r="B328" s="2">
        <v>45665</v>
      </c>
      <c r="C328" t="s">
        <v>73</v>
      </c>
      <c r="D328" t="s">
        <v>39</v>
      </c>
      <c r="E328" t="s">
        <v>76</v>
      </c>
      <c r="F328" t="s">
        <v>64</v>
      </c>
      <c r="G328">
        <v>3</v>
      </c>
      <c r="H328">
        <v>500</v>
      </c>
      <c r="I328">
        <v>0.1</v>
      </c>
      <c r="J328" t="str">
        <f>_xlfn.XLOOKUP(tblOrders[[#This Row],[ProductID]],Products!$A$2:$A$9,Products!$B$2:$B$9,"Unknown")</f>
        <v>Mouse</v>
      </c>
      <c r="K328" t="str">
        <f>_xlfn.XLOOKUP(tblOrders[[#This Row],[ProductID]],Products!$A$2:$A$9,Products!$C$2:$C$9,"Unknown")</f>
        <v>Accessories</v>
      </c>
      <c r="L328">
        <f>_xlfn.XLOOKUP(tblOrders[[#This Row],[ProductID]],Products!$A$2:$A$9,Products!$D$2:$D$9,0)</f>
        <v>320</v>
      </c>
      <c r="M328">
        <f>tblOrders[[#This Row],[Quantity]]*tblOrders[[#This Row],[UnitPrice]]*(1-tblOrders[[#This Row],[Discount]])</f>
        <v>1350</v>
      </c>
      <c r="N328">
        <f>tblOrders[[#This Row],[Quantity]]*tblOrders[[#This Row],[UnitCost]]</f>
        <v>960</v>
      </c>
      <c r="O328">
        <f>tblOrders[[#This Row],[Revenue]]-tblOrders[[#This Row],[Cost]]</f>
        <v>390</v>
      </c>
      <c r="P328" t="str">
        <f>TEXT(tblOrders[[#This Row],[OrderDate]],"mmm")</f>
        <v>Jan</v>
      </c>
    </row>
    <row r="329" spans="1:16" x14ac:dyDescent="0.25">
      <c r="A329" t="s">
        <v>56</v>
      </c>
      <c r="B329" s="2">
        <v>45856</v>
      </c>
      <c r="C329" t="s">
        <v>57</v>
      </c>
      <c r="D329" t="s">
        <v>39</v>
      </c>
      <c r="E329" t="s">
        <v>40</v>
      </c>
      <c r="F329" t="s">
        <v>23</v>
      </c>
      <c r="G329">
        <v>6</v>
      </c>
      <c r="H329">
        <v>900</v>
      </c>
      <c r="I329">
        <v>0</v>
      </c>
      <c r="J329" t="str">
        <f>_xlfn.XLOOKUP(tblOrders[[#This Row],[ProductID]],Products!$A$2:$A$9,Products!$B$2:$B$9,"Unknown")</f>
        <v>Keyboard</v>
      </c>
      <c r="K329" t="str">
        <f>_xlfn.XLOOKUP(tblOrders[[#This Row],[ProductID]],Products!$A$2:$A$9,Products!$C$2:$C$9,"Unknown")</f>
        <v>Accessories</v>
      </c>
      <c r="L329">
        <f>_xlfn.XLOOKUP(tblOrders[[#This Row],[ProductID]],Products!$A$2:$A$9,Products!$D$2:$D$9,0)</f>
        <v>600</v>
      </c>
      <c r="M329">
        <f>tblOrders[[#This Row],[Quantity]]*tblOrders[[#This Row],[UnitPrice]]*(1-tblOrders[[#This Row],[Discount]])</f>
        <v>5400</v>
      </c>
      <c r="N329">
        <f>tblOrders[[#This Row],[Quantity]]*tblOrders[[#This Row],[UnitCost]]</f>
        <v>3600</v>
      </c>
      <c r="O329">
        <f>tblOrders[[#This Row],[Revenue]]-tblOrders[[#This Row],[Cost]]</f>
        <v>1800</v>
      </c>
      <c r="P329" t="str">
        <f>TEXT(tblOrders[[#This Row],[OrderDate]],"mmm")</f>
        <v>Jul</v>
      </c>
    </row>
    <row r="330" spans="1:16" x14ac:dyDescent="0.25">
      <c r="A330" t="s">
        <v>879</v>
      </c>
      <c r="B330" s="2">
        <v>45937</v>
      </c>
      <c r="C330" t="s">
        <v>99</v>
      </c>
      <c r="D330" t="s">
        <v>21</v>
      </c>
      <c r="E330" t="s">
        <v>28</v>
      </c>
      <c r="F330" t="s">
        <v>43</v>
      </c>
      <c r="G330">
        <v>15</v>
      </c>
      <c r="H330">
        <v>1500</v>
      </c>
      <c r="I330">
        <v>0</v>
      </c>
      <c r="J330" t="str">
        <f>_xlfn.XLOOKUP(tblOrders[[#This Row],[ProductID]],Products!$A$2:$A$9,Products!$B$2:$B$9,"Unknown")</f>
        <v>Webcam</v>
      </c>
      <c r="K330" t="str">
        <f>_xlfn.XLOOKUP(tblOrders[[#This Row],[ProductID]],Products!$A$2:$A$9,Products!$C$2:$C$9,"Unknown")</f>
        <v>Accessories</v>
      </c>
      <c r="L330">
        <f>_xlfn.XLOOKUP(tblOrders[[#This Row],[ProductID]],Products!$A$2:$A$9,Products!$D$2:$D$9,0)</f>
        <v>980</v>
      </c>
      <c r="M330">
        <f>tblOrders[[#This Row],[Quantity]]*tblOrders[[#This Row],[UnitPrice]]*(1-tblOrders[[#This Row],[Discount]])</f>
        <v>22500</v>
      </c>
      <c r="N330">
        <f>tblOrders[[#This Row],[Quantity]]*tblOrders[[#This Row],[UnitCost]]</f>
        <v>14700</v>
      </c>
      <c r="O330">
        <f>tblOrders[[#This Row],[Revenue]]-tblOrders[[#This Row],[Cost]]</f>
        <v>7800</v>
      </c>
      <c r="P330" t="str">
        <f>TEXT(tblOrders[[#This Row],[OrderDate]],"mmm")</f>
        <v>Oct</v>
      </c>
    </row>
    <row r="331" spans="1:16" x14ac:dyDescent="0.25">
      <c r="A331" t="s">
        <v>729</v>
      </c>
      <c r="B331" s="2">
        <v>45666</v>
      </c>
      <c r="C331" t="s">
        <v>207</v>
      </c>
      <c r="D331" t="s">
        <v>16</v>
      </c>
      <c r="E331" t="s">
        <v>33</v>
      </c>
      <c r="F331" t="s">
        <v>34</v>
      </c>
      <c r="G331">
        <v>12</v>
      </c>
      <c r="H331">
        <v>55000</v>
      </c>
      <c r="I331">
        <v>0.1</v>
      </c>
      <c r="J331" t="str">
        <f>_xlfn.XLOOKUP(tblOrders[[#This Row],[ProductID]],Products!$A$2:$A$9,Products!$B$2:$B$9,"Unknown")</f>
        <v>Laptop</v>
      </c>
      <c r="K331" t="str">
        <f>_xlfn.XLOOKUP(tblOrders[[#This Row],[ProductID]],Products!$A$2:$A$9,Products!$C$2:$C$9,"Unknown")</f>
        <v>Electronics</v>
      </c>
      <c r="L331">
        <f>_xlfn.XLOOKUP(tblOrders[[#This Row],[ProductID]],Products!$A$2:$A$9,Products!$D$2:$D$9,0)</f>
        <v>41000</v>
      </c>
      <c r="M331">
        <f>tblOrders[[#This Row],[Quantity]]*tblOrders[[#This Row],[UnitPrice]]*(1-tblOrders[[#This Row],[Discount]])</f>
        <v>594000</v>
      </c>
      <c r="N331">
        <f>tblOrders[[#This Row],[Quantity]]*tblOrders[[#This Row],[UnitCost]]</f>
        <v>492000</v>
      </c>
      <c r="O331">
        <f>tblOrders[[#This Row],[Revenue]]-tblOrders[[#This Row],[Cost]]</f>
        <v>102000</v>
      </c>
      <c r="P331" t="str">
        <f>TEXT(tblOrders[[#This Row],[OrderDate]],"mmm")</f>
        <v>Jan</v>
      </c>
    </row>
    <row r="332" spans="1:16" x14ac:dyDescent="0.25">
      <c r="A332" t="s">
        <v>534</v>
      </c>
      <c r="B332" s="2">
        <v>45669</v>
      </c>
      <c r="C332" t="s">
        <v>132</v>
      </c>
      <c r="D332" t="s">
        <v>11</v>
      </c>
      <c r="E332" t="s">
        <v>46</v>
      </c>
      <c r="F332" t="s">
        <v>43</v>
      </c>
      <c r="G332">
        <v>2</v>
      </c>
      <c r="H332">
        <v>1500</v>
      </c>
      <c r="I332">
        <v>0</v>
      </c>
      <c r="J332" t="str">
        <f>_xlfn.XLOOKUP(tblOrders[[#This Row],[ProductID]],Products!$A$2:$A$9,Products!$B$2:$B$9,"Unknown")</f>
        <v>Webcam</v>
      </c>
      <c r="K332" t="str">
        <f>_xlfn.XLOOKUP(tblOrders[[#This Row],[ProductID]],Products!$A$2:$A$9,Products!$C$2:$C$9,"Unknown")</f>
        <v>Accessories</v>
      </c>
      <c r="L332">
        <f>_xlfn.XLOOKUP(tblOrders[[#This Row],[ProductID]],Products!$A$2:$A$9,Products!$D$2:$D$9,0)</f>
        <v>980</v>
      </c>
      <c r="M332">
        <f>tblOrders[[#This Row],[Quantity]]*tblOrders[[#This Row],[UnitPrice]]*(1-tblOrders[[#This Row],[Discount]])</f>
        <v>3000</v>
      </c>
      <c r="N332">
        <f>tblOrders[[#This Row],[Quantity]]*tblOrders[[#This Row],[UnitCost]]</f>
        <v>1960</v>
      </c>
      <c r="O332">
        <f>tblOrders[[#This Row],[Revenue]]-tblOrders[[#This Row],[Cost]]</f>
        <v>1040</v>
      </c>
      <c r="P332" t="str">
        <f>TEXT(tblOrders[[#This Row],[OrderDate]],"mmm")</f>
        <v>Jan</v>
      </c>
    </row>
    <row r="333" spans="1:16" x14ac:dyDescent="0.25">
      <c r="A333" t="s">
        <v>406</v>
      </c>
      <c r="B333" s="2">
        <v>45916</v>
      </c>
      <c r="C333" t="s">
        <v>113</v>
      </c>
      <c r="D333" t="s">
        <v>16</v>
      </c>
      <c r="E333" t="s">
        <v>17</v>
      </c>
      <c r="F333" t="s">
        <v>43</v>
      </c>
      <c r="G333">
        <v>11</v>
      </c>
      <c r="H333">
        <v>1500</v>
      </c>
      <c r="I333">
        <v>0.15</v>
      </c>
      <c r="J333" t="str">
        <f>_xlfn.XLOOKUP(tblOrders[[#This Row],[ProductID]],Products!$A$2:$A$9,Products!$B$2:$B$9,"Unknown")</f>
        <v>Webcam</v>
      </c>
      <c r="K333" t="str">
        <f>_xlfn.XLOOKUP(tblOrders[[#This Row],[ProductID]],Products!$A$2:$A$9,Products!$C$2:$C$9,"Unknown")</f>
        <v>Accessories</v>
      </c>
      <c r="L333">
        <f>_xlfn.XLOOKUP(tblOrders[[#This Row],[ProductID]],Products!$A$2:$A$9,Products!$D$2:$D$9,0)</f>
        <v>980</v>
      </c>
      <c r="M333">
        <f>tblOrders[[#This Row],[Quantity]]*tblOrders[[#This Row],[UnitPrice]]*(1-tblOrders[[#This Row],[Discount]])</f>
        <v>14025</v>
      </c>
      <c r="N333">
        <f>tblOrders[[#This Row],[Quantity]]*tblOrders[[#This Row],[UnitCost]]</f>
        <v>10780</v>
      </c>
      <c r="O333">
        <f>tblOrders[[#This Row],[Revenue]]-tblOrders[[#This Row],[Cost]]</f>
        <v>3245</v>
      </c>
      <c r="P333" t="str">
        <f>TEXT(tblOrders[[#This Row],[OrderDate]],"mmm")</f>
        <v>Sep</v>
      </c>
    </row>
    <row r="334" spans="1:16" x14ac:dyDescent="0.25">
      <c r="A334" t="s">
        <v>884</v>
      </c>
      <c r="B334" s="2">
        <v>45771</v>
      </c>
      <c r="C334" t="s">
        <v>52</v>
      </c>
      <c r="D334" t="s">
        <v>21</v>
      </c>
      <c r="E334" t="s">
        <v>22</v>
      </c>
      <c r="F334" t="s">
        <v>13</v>
      </c>
      <c r="G334">
        <v>7</v>
      </c>
      <c r="H334">
        <v>2000</v>
      </c>
      <c r="I334">
        <v>0</v>
      </c>
      <c r="J334" t="str">
        <f>_xlfn.XLOOKUP(tblOrders[[#This Row],[ProductID]],Products!$A$2:$A$9,Products!$B$2:$B$9,"Unknown")</f>
        <v>Headset</v>
      </c>
      <c r="K334" t="str">
        <f>_xlfn.XLOOKUP(tblOrders[[#This Row],[ProductID]],Products!$A$2:$A$9,Products!$C$2:$C$9,"Unknown")</f>
        <v>Accessories</v>
      </c>
      <c r="L334">
        <f>_xlfn.XLOOKUP(tblOrders[[#This Row],[ProductID]],Products!$A$2:$A$9,Products!$D$2:$D$9,0)</f>
        <v>1300</v>
      </c>
      <c r="M334">
        <f>tblOrders[[#This Row],[Quantity]]*tblOrders[[#This Row],[UnitPrice]]*(1-tblOrders[[#This Row],[Discount]])</f>
        <v>14000</v>
      </c>
      <c r="N334">
        <f>tblOrders[[#This Row],[Quantity]]*tblOrders[[#This Row],[UnitCost]]</f>
        <v>9100</v>
      </c>
      <c r="O334">
        <f>tblOrders[[#This Row],[Revenue]]-tblOrders[[#This Row],[Cost]]</f>
        <v>4900</v>
      </c>
      <c r="P334" t="str">
        <f>TEXT(tblOrders[[#This Row],[OrderDate]],"mmm")</f>
        <v>Apr</v>
      </c>
    </row>
    <row r="335" spans="1:16" x14ac:dyDescent="0.25">
      <c r="A335" t="s">
        <v>425</v>
      </c>
      <c r="B335" s="2">
        <v>45687</v>
      </c>
      <c r="C335" t="s">
        <v>229</v>
      </c>
      <c r="D335" t="s">
        <v>21</v>
      </c>
      <c r="E335" t="s">
        <v>22</v>
      </c>
      <c r="F335" t="s">
        <v>43</v>
      </c>
      <c r="G335">
        <v>11</v>
      </c>
      <c r="H335">
        <v>1500</v>
      </c>
      <c r="I335">
        <v>0.05</v>
      </c>
      <c r="J335" t="str">
        <f>_xlfn.XLOOKUP(tblOrders[[#This Row],[ProductID]],Products!$A$2:$A$9,Products!$B$2:$B$9,"Unknown")</f>
        <v>Webcam</v>
      </c>
      <c r="K335" t="str">
        <f>_xlfn.XLOOKUP(tblOrders[[#This Row],[ProductID]],Products!$A$2:$A$9,Products!$C$2:$C$9,"Unknown")</f>
        <v>Accessories</v>
      </c>
      <c r="L335">
        <f>_xlfn.XLOOKUP(tblOrders[[#This Row],[ProductID]],Products!$A$2:$A$9,Products!$D$2:$D$9,0)</f>
        <v>980</v>
      </c>
      <c r="M335">
        <f>tblOrders[[#This Row],[Quantity]]*tblOrders[[#This Row],[UnitPrice]]*(1-tblOrders[[#This Row],[Discount]])</f>
        <v>15675</v>
      </c>
      <c r="N335">
        <f>tblOrders[[#This Row],[Quantity]]*tblOrders[[#This Row],[UnitCost]]</f>
        <v>10780</v>
      </c>
      <c r="O335">
        <f>tblOrders[[#This Row],[Revenue]]-tblOrders[[#This Row],[Cost]]</f>
        <v>4895</v>
      </c>
      <c r="P335" t="str">
        <f>TEXT(tblOrders[[#This Row],[OrderDate]],"mmm")</f>
        <v>Jan</v>
      </c>
    </row>
    <row r="336" spans="1:16" x14ac:dyDescent="0.25">
      <c r="A336" t="s">
        <v>150</v>
      </c>
      <c r="B336" s="2">
        <v>45923</v>
      </c>
      <c r="C336" t="s">
        <v>151</v>
      </c>
      <c r="D336" t="s">
        <v>11</v>
      </c>
      <c r="E336" t="s">
        <v>46</v>
      </c>
      <c r="F336" t="s">
        <v>43</v>
      </c>
      <c r="G336">
        <v>6</v>
      </c>
      <c r="H336">
        <v>1500</v>
      </c>
      <c r="I336">
        <v>0</v>
      </c>
      <c r="J336" t="str">
        <f>_xlfn.XLOOKUP(tblOrders[[#This Row],[ProductID]],Products!$A$2:$A$9,Products!$B$2:$B$9,"Unknown")</f>
        <v>Webcam</v>
      </c>
      <c r="K336" t="str">
        <f>_xlfn.XLOOKUP(tblOrders[[#This Row],[ProductID]],Products!$A$2:$A$9,Products!$C$2:$C$9,"Unknown")</f>
        <v>Accessories</v>
      </c>
      <c r="L336">
        <f>_xlfn.XLOOKUP(tblOrders[[#This Row],[ProductID]],Products!$A$2:$A$9,Products!$D$2:$D$9,0)</f>
        <v>980</v>
      </c>
      <c r="M336">
        <f>tblOrders[[#This Row],[Quantity]]*tblOrders[[#This Row],[UnitPrice]]*(1-tblOrders[[#This Row],[Discount]])</f>
        <v>9000</v>
      </c>
      <c r="N336">
        <f>tblOrders[[#This Row],[Quantity]]*tblOrders[[#This Row],[UnitCost]]</f>
        <v>5880</v>
      </c>
      <c r="O336">
        <f>tblOrders[[#This Row],[Revenue]]-tblOrders[[#This Row],[Cost]]</f>
        <v>3120</v>
      </c>
      <c r="P336" t="str">
        <f>TEXT(tblOrders[[#This Row],[OrderDate]],"mmm")</f>
        <v>Sep</v>
      </c>
    </row>
    <row r="337" spans="1:16" x14ac:dyDescent="0.25">
      <c r="A337" t="s">
        <v>467</v>
      </c>
      <c r="B337" s="2">
        <v>45707</v>
      </c>
      <c r="C337" t="s">
        <v>115</v>
      </c>
      <c r="D337" t="s">
        <v>21</v>
      </c>
      <c r="E337" t="s">
        <v>28</v>
      </c>
      <c r="F337" t="s">
        <v>34</v>
      </c>
      <c r="G337">
        <v>3</v>
      </c>
      <c r="H337">
        <v>55000</v>
      </c>
      <c r="I337">
        <v>0.15</v>
      </c>
      <c r="J337" t="str">
        <f>_xlfn.XLOOKUP(tblOrders[[#This Row],[ProductID]],Products!$A$2:$A$9,Products!$B$2:$B$9,"Unknown")</f>
        <v>Laptop</v>
      </c>
      <c r="K337" t="str">
        <f>_xlfn.XLOOKUP(tblOrders[[#This Row],[ProductID]],Products!$A$2:$A$9,Products!$C$2:$C$9,"Unknown")</f>
        <v>Electronics</v>
      </c>
      <c r="L337">
        <f>_xlfn.XLOOKUP(tblOrders[[#This Row],[ProductID]],Products!$A$2:$A$9,Products!$D$2:$D$9,0)</f>
        <v>41000</v>
      </c>
      <c r="M337">
        <f>tblOrders[[#This Row],[Quantity]]*tblOrders[[#This Row],[UnitPrice]]*(1-tblOrders[[#This Row],[Discount]])</f>
        <v>140250</v>
      </c>
      <c r="N337">
        <f>tblOrders[[#This Row],[Quantity]]*tblOrders[[#This Row],[UnitCost]]</f>
        <v>123000</v>
      </c>
      <c r="O337">
        <f>tblOrders[[#This Row],[Revenue]]-tblOrders[[#This Row],[Cost]]</f>
        <v>17250</v>
      </c>
      <c r="P337" t="str">
        <f>TEXT(tblOrders[[#This Row],[OrderDate]],"mmm")</f>
        <v>Feb</v>
      </c>
    </row>
    <row r="338" spans="1:16" x14ac:dyDescent="0.25">
      <c r="A338" t="s">
        <v>102</v>
      </c>
      <c r="B338" s="2">
        <v>45997</v>
      </c>
      <c r="C338" t="s">
        <v>103</v>
      </c>
      <c r="D338" t="s">
        <v>39</v>
      </c>
      <c r="E338" t="s">
        <v>40</v>
      </c>
      <c r="F338" t="s">
        <v>18</v>
      </c>
      <c r="G338">
        <v>7</v>
      </c>
      <c r="H338">
        <v>18000</v>
      </c>
      <c r="I338">
        <v>0.05</v>
      </c>
      <c r="J338" t="str">
        <f>_xlfn.XLOOKUP(tblOrders[[#This Row],[ProductID]],Products!$A$2:$A$9,Products!$B$2:$B$9,"Unknown")</f>
        <v>Tablet</v>
      </c>
      <c r="K338" t="str">
        <f>_xlfn.XLOOKUP(tblOrders[[#This Row],[ProductID]],Products!$A$2:$A$9,Products!$C$2:$C$9,"Unknown")</f>
        <v>Electronics</v>
      </c>
      <c r="L338">
        <f>_xlfn.XLOOKUP(tblOrders[[#This Row],[ProductID]],Products!$A$2:$A$9,Products!$D$2:$D$9,0)</f>
        <v>13500</v>
      </c>
      <c r="M338">
        <f>tblOrders[[#This Row],[Quantity]]*tblOrders[[#This Row],[UnitPrice]]*(1-tblOrders[[#This Row],[Discount]])</f>
        <v>119700</v>
      </c>
      <c r="N338">
        <f>tblOrders[[#This Row],[Quantity]]*tblOrders[[#This Row],[UnitCost]]</f>
        <v>94500</v>
      </c>
      <c r="O338">
        <f>tblOrders[[#This Row],[Revenue]]-tblOrders[[#This Row],[Cost]]</f>
        <v>25200</v>
      </c>
      <c r="P338" t="str">
        <f>TEXT(tblOrders[[#This Row],[OrderDate]],"mmm")</f>
        <v>Dec</v>
      </c>
    </row>
    <row r="339" spans="1:16" x14ac:dyDescent="0.25">
      <c r="A339" t="s">
        <v>572</v>
      </c>
      <c r="B339" s="2">
        <v>45847</v>
      </c>
      <c r="C339" t="s">
        <v>160</v>
      </c>
      <c r="D339" t="s">
        <v>16</v>
      </c>
      <c r="E339" t="s">
        <v>17</v>
      </c>
      <c r="F339" t="s">
        <v>34</v>
      </c>
      <c r="G339">
        <v>2</v>
      </c>
      <c r="H339">
        <v>55000</v>
      </c>
      <c r="I339">
        <v>0</v>
      </c>
      <c r="J339" t="str">
        <f>_xlfn.XLOOKUP(tblOrders[[#This Row],[ProductID]],Products!$A$2:$A$9,Products!$B$2:$B$9,"Unknown")</f>
        <v>Laptop</v>
      </c>
      <c r="K339" t="str">
        <f>_xlfn.XLOOKUP(tblOrders[[#This Row],[ProductID]],Products!$A$2:$A$9,Products!$C$2:$C$9,"Unknown")</f>
        <v>Electronics</v>
      </c>
      <c r="L339">
        <f>_xlfn.XLOOKUP(tblOrders[[#This Row],[ProductID]],Products!$A$2:$A$9,Products!$D$2:$D$9,0)</f>
        <v>41000</v>
      </c>
      <c r="M339">
        <f>tblOrders[[#This Row],[Quantity]]*tblOrders[[#This Row],[UnitPrice]]*(1-tblOrders[[#This Row],[Discount]])</f>
        <v>110000</v>
      </c>
      <c r="N339">
        <f>tblOrders[[#This Row],[Quantity]]*tblOrders[[#This Row],[UnitCost]]</f>
        <v>82000</v>
      </c>
      <c r="O339">
        <f>tblOrders[[#This Row],[Revenue]]-tblOrders[[#This Row],[Cost]]</f>
        <v>28000</v>
      </c>
      <c r="P339" t="str">
        <f>TEXT(tblOrders[[#This Row],[OrderDate]],"mmm")</f>
        <v>Jul</v>
      </c>
    </row>
    <row r="340" spans="1:16" x14ac:dyDescent="0.25">
      <c r="A340" t="s">
        <v>775</v>
      </c>
      <c r="B340" s="2">
        <v>45706</v>
      </c>
      <c r="C340" t="s">
        <v>66</v>
      </c>
      <c r="D340" t="s">
        <v>16</v>
      </c>
      <c r="E340" t="s">
        <v>17</v>
      </c>
      <c r="F340" t="s">
        <v>18</v>
      </c>
      <c r="G340">
        <v>2</v>
      </c>
      <c r="H340">
        <v>18000</v>
      </c>
      <c r="I340">
        <v>0.1</v>
      </c>
      <c r="J340" t="str">
        <f>_xlfn.XLOOKUP(tblOrders[[#This Row],[ProductID]],Products!$A$2:$A$9,Products!$B$2:$B$9,"Unknown")</f>
        <v>Tablet</v>
      </c>
      <c r="K340" t="str">
        <f>_xlfn.XLOOKUP(tblOrders[[#This Row],[ProductID]],Products!$A$2:$A$9,Products!$C$2:$C$9,"Unknown")</f>
        <v>Electronics</v>
      </c>
      <c r="L340">
        <f>_xlfn.XLOOKUP(tblOrders[[#This Row],[ProductID]],Products!$A$2:$A$9,Products!$D$2:$D$9,0)</f>
        <v>13500</v>
      </c>
      <c r="M340">
        <f>tblOrders[[#This Row],[Quantity]]*tblOrders[[#This Row],[UnitPrice]]*(1-tblOrders[[#This Row],[Discount]])</f>
        <v>32400</v>
      </c>
      <c r="N340">
        <f>tblOrders[[#This Row],[Quantity]]*tblOrders[[#This Row],[UnitCost]]</f>
        <v>27000</v>
      </c>
      <c r="O340">
        <f>tblOrders[[#This Row],[Revenue]]-tblOrders[[#This Row],[Cost]]</f>
        <v>5400</v>
      </c>
      <c r="P340" t="str">
        <f>TEXT(tblOrders[[#This Row],[OrderDate]],"mmm")</f>
        <v>Feb</v>
      </c>
    </row>
    <row r="341" spans="1:16" x14ac:dyDescent="0.25">
      <c r="A341" t="s">
        <v>19</v>
      </c>
      <c r="B341" s="2">
        <v>45997</v>
      </c>
      <c r="C341" t="s">
        <v>20</v>
      </c>
      <c r="D341" t="s">
        <v>21</v>
      </c>
      <c r="E341" t="s">
        <v>22</v>
      </c>
      <c r="F341" t="s">
        <v>23</v>
      </c>
      <c r="G341">
        <v>5</v>
      </c>
      <c r="H341">
        <v>900</v>
      </c>
      <c r="I341">
        <v>0</v>
      </c>
      <c r="J341" t="str">
        <f>_xlfn.XLOOKUP(tblOrders[[#This Row],[ProductID]],Products!$A$2:$A$9,Products!$B$2:$B$9,"Unknown")</f>
        <v>Keyboard</v>
      </c>
      <c r="K341" t="str">
        <f>_xlfn.XLOOKUP(tblOrders[[#This Row],[ProductID]],Products!$A$2:$A$9,Products!$C$2:$C$9,"Unknown")</f>
        <v>Accessories</v>
      </c>
      <c r="L341">
        <f>_xlfn.XLOOKUP(tblOrders[[#This Row],[ProductID]],Products!$A$2:$A$9,Products!$D$2:$D$9,0)</f>
        <v>600</v>
      </c>
      <c r="M341">
        <f>tblOrders[[#This Row],[Quantity]]*tblOrders[[#This Row],[UnitPrice]]*(1-tblOrders[[#This Row],[Discount]])</f>
        <v>4500</v>
      </c>
      <c r="N341">
        <f>tblOrders[[#This Row],[Quantity]]*tblOrders[[#This Row],[UnitCost]]</f>
        <v>3000</v>
      </c>
      <c r="O341">
        <f>tblOrders[[#This Row],[Revenue]]-tblOrders[[#This Row],[Cost]]</f>
        <v>1500</v>
      </c>
      <c r="P341" t="str">
        <f>TEXT(tblOrders[[#This Row],[OrderDate]],"mmm")</f>
        <v>Dec</v>
      </c>
    </row>
    <row r="342" spans="1:16" x14ac:dyDescent="0.25">
      <c r="A342" t="s">
        <v>797</v>
      </c>
      <c r="B342" s="2">
        <v>45784</v>
      </c>
      <c r="C342" t="s">
        <v>82</v>
      </c>
      <c r="D342" t="s">
        <v>39</v>
      </c>
      <c r="E342" t="s">
        <v>76</v>
      </c>
      <c r="F342" t="s">
        <v>43</v>
      </c>
      <c r="G342">
        <v>1</v>
      </c>
      <c r="H342">
        <v>1500</v>
      </c>
      <c r="I342">
        <v>0</v>
      </c>
      <c r="J342" t="str">
        <f>_xlfn.XLOOKUP(tblOrders[[#This Row],[ProductID]],Products!$A$2:$A$9,Products!$B$2:$B$9,"Unknown")</f>
        <v>Webcam</v>
      </c>
      <c r="K342" t="str">
        <f>_xlfn.XLOOKUP(tblOrders[[#This Row],[ProductID]],Products!$A$2:$A$9,Products!$C$2:$C$9,"Unknown")</f>
        <v>Accessories</v>
      </c>
      <c r="L342">
        <f>_xlfn.XLOOKUP(tblOrders[[#This Row],[ProductID]],Products!$A$2:$A$9,Products!$D$2:$D$9,0)</f>
        <v>980</v>
      </c>
      <c r="M342">
        <f>tblOrders[[#This Row],[Quantity]]*tblOrders[[#This Row],[UnitPrice]]*(1-tblOrders[[#This Row],[Discount]])</f>
        <v>1500</v>
      </c>
      <c r="N342">
        <f>tblOrders[[#This Row],[Quantity]]*tblOrders[[#This Row],[UnitCost]]</f>
        <v>980</v>
      </c>
      <c r="O342">
        <f>tblOrders[[#This Row],[Revenue]]-tblOrders[[#This Row],[Cost]]</f>
        <v>520</v>
      </c>
      <c r="P342" t="str">
        <f>TEXT(tblOrders[[#This Row],[OrderDate]],"mmm")</f>
        <v>May</v>
      </c>
    </row>
    <row r="343" spans="1:16" x14ac:dyDescent="0.25">
      <c r="A343" t="s">
        <v>186</v>
      </c>
      <c r="B343" s="2">
        <v>45745</v>
      </c>
      <c r="C343" t="s">
        <v>63</v>
      </c>
      <c r="D343" t="s">
        <v>21</v>
      </c>
      <c r="E343" t="s">
        <v>22</v>
      </c>
      <c r="F343" t="s">
        <v>43</v>
      </c>
      <c r="G343">
        <v>3</v>
      </c>
      <c r="H343">
        <v>1500</v>
      </c>
      <c r="I343">
        <v>0</v>
      </c>
      <c r="J343" t="str">
        <f>_xlfn.XLOOKUP(tblOrders[[#This Row],[ProductID]],Products!$A$2:$A$9,Products!$B$2:$B$9,"Unknown")</f>
        <v>Webcam</v>
      </c>
      <c r="K343" t="str">
        <f>_xlfn.XLOOKUP(tblOrders[[#This Row],[ProductID]],Products!$A$2:$A$9,Products!$C$2:$C$9,"Unknown")</f>
        <v>Accessories</v>
      </c>
      <c r="L343">
        <f>_xlfn.XLOOKUP(tblOrders[[#This Row],[ProductID]],Products!$A$2:$A$9,Products!$D$2:$D$9,0)</f>
        <v>980</v>
      </c>
      <c r="M343">
        <f>tblOrders[[#This Row],[Quantity]]*tblOrders[[#This Row],[UnitPrice]]*(1-tblOrders[[#This Row],[Discount]])</f>
        <v>4500</v>
      </c>
      <c r="N343">
        <f>tblOrders[[#This Row],[Quantity]]*tblOrders[[#This Row],[UnitCost]]</f>
        <v>2940</v>
      </c>
      <c r="O343">
        <f>tblOrders[[#This Row],[Revenue]]-tblOrders[[#This Row],[Cost]]</f>
        <v>1560</v>
      </c>
      <c r="P343" t="str">
        <f>TEXT(tblOrders[[#This Row],[OrderDate]],"mmm")</f>
        <v>Mar</v>
      </c>
    </row>
    <row r="344" spans="1:16" x14ac:dyDescent="0.25">
      <c r="A344" t="s">
        <v>483</v>
      </c>
      <c r="B344" s="2">
        <v>45731</v>
      </c>
      <c r="C344" t="s">
        <v>123</v>
      </c>
      <c r="D344" t="s">
        <v>11</v>
      </c>
      <c r="E344" t="s">
        <v>12</v>
      </c>
      <c r="F344" t="s">
        <v>13</v>
      </c>
      <c r="G344">
        <v>10</v>
      </c>
      <c r="H344">
        <v>2000</v>
      </c>
      <c r="I344">
        <v>0.1</v>
      </c>
      <c r="J344" t="str">
        <f>_xlfn.XLOOKUP(tblOrders[[#This Row],[ProductID]],Products!$A$2:$A$9,Products!$B$2:$B$9,"Unknown")</f>
        <v>Headset</v>
      </c>
      <c r="K344" t="str">
        <f>_xlfn.XLOOKUP(tblOrders[[#This Row],[ProductID]],Products!$A$2:$A$9,Products!$C$2:$C$9,"Unknown")</f>
        <v>Accessories</v>
      </c>
      <c r="L344">
        <f>_xlfn.XLOOKUP(tblOrders[[#This Row],[ProductID]],Products!$A$2:$A$9,Products!$D$2:$D$9,0)</f>
        <v>1300</v>
      </c>
      <c r="M344">
        <f>tblOrders[[#This Row],[Quantity]]*tblOrders[[#This Row],[UnitPrice]]*(1-tblOrders[[#This Row],[Discount]])</f>
        <v>18000</v>
      </c>
      <c r="N344">
        <f>tblOrders[[#This Row],[Quantity]]*tblOrders[[#This Row],[UnitCost]]</f>
        <v>13000</v>
      </c>
      <c r="O344">
        <f>tblOrders[[#This Row],[Revenue]]-tblOrders[[#This Row],[Cost]]</f>
        <v>5000</v>
      </c>
      <c r="P344" t="str">
        <f>TEXT(tblOrders[[#This Row],[OrderDate]],"mmm")</f>
        <v>Mar</v>
      </c>
    </row>
    <row r="345" spans="1:16" x14ac:dyDescent="0.25">
      <c r="A345" t="s">
        <v>381</v>
      </c>
      <c r="B345" s="2">
        <v>45869</v>
      </c>
      <c r="C345" t="s">
        <v>149</v>
      </c>
      <c r="D345" t="s">
        <v>21</v>
      </c>
      <c r="E345" t="s">
        <v>28</v>
      </c>
      <c r="F345" t="s">
        <v>55</v>
      </c>
      <c r="G345">
        <v>3</v>
      </c>
      <c r="H345">
        <v>8000</v>
      </c>
      <c r="I345">
        <v>0</v>
      </c>
      <c r="J345" t="str">
        <f>_xlfn.XLOOKUP(tblOrders[[#This Row],[ProductID]],Products!$A$2:$A$9,Products!$B$2:$B$9,"Unknown")</f>
        <v>Printer</v>
      </c>
      <c r="K345" t="str">
        <f>_xlfn.XLOOKUP(tblOrders[[#This Row],[ProductID]],Products!$A$2:$A$9,Products!$C$2:$C$9,"Unknown")</f>
        <v>Electronics</v>
      </c>
      <c r="L345">
        <f>_xlfn.XLOOKUP(tblOrders[[#This Row],[ProductID]],Products!$A$2:$A$9,Products!$D$2:$D$9,0)</f>
        <v>6200</v>
      </c>
      <c r="M345">
        <f>tblOrders[[#This Row],[Quantity]]*tblOrders[[#This Row],[UnitPrice]]*(1-tblOrders[[#This Row],[Discount]])</f>
        <v>24000</v>
      </c>
      <c r="N345">
        <f>tblOrders[[#This Row],[Quantity]]*tblOrders[[#This Row],[UnitCost]]</f>
        <v>18600</v>
      </c>
      <c r="O345">
        <f>tblOrders[[#This Row],[Revenue]]-tblOrders[[#This Row],[Cost]]</f>
        <v>5400</v>
      </c>
      <c r="P345" t="str">
        <f>TEXT(tblOrders[[#This Row],[OrderDate]],"mmm")</f>
        <v>Jul</v>
      </c>
    </row>
    <row r="346" spans="1:16" x14ac:dyDescent="0.25">
      <c r="A346" t="s">
        <v>782</v>
      </c>
      <c r="B346" s="2">
        <v>45738</v>
      </c>
      <c r="C346" t="s">
        <v>50</v>
      </c>
      <c r="D346" t="s">
        <v>16</v>
      </c>
      <c r="E346" t="s">
        <v>33</v>
      </c>
      <c r="F346" t="s">
        <v>34</v>
      </c>
      <c r="G346">
        <v>7</v>
      </c>
      <c r="H346">
        <v>55000</v>
      </c>
      <c r="I346">
        <v>0</v>
      </c>
      <c r="J346" t="str">
        <f>_xlfn.XLOOKUP(tblOrders[[#This Row],[ProductID]],Products!$A$2:$A$9,Products!$B$2:$B$9,"Unknown")</f>
        <v>Laptop</v>
      </c>
      <c r="K346" t="str">
        <f>_xlfn.XLOOKUP(tblOrders[[#This Row],[ProductID]],Products!$A$2:$A$9,Products!$C$2:$C$9,"Unknown")</f>
        <v>Electronics</v>
      </c>
      <c r="L346">
        <f>_xlfn.XLOOKUP(tblOrders[[#This Row],[ProductID]],Products!$A$2:$A$9,Products!$D$2:$D$9,0)</f>
        <v>41000</v>
      </c>
      <c r="M346">
        <f>tblOrders[[#This Row],[Quantity]]*tblOrders[[#This Row],[UnitPrice]]*(1-tblOrders[[#This Row],[Discount]])</f>
        <v>385000</v>
      </c>
      <c r="N346">
        <f>tblOrders[[#This Row],[Quantity]]*tblOrders[[#This Row],[UnitCost]]</f>
        <v>287000</v>
      </c>
      <c r="O346">
        <f>tblOrders[[#This Row],[Revenue]]-tblOrders[[#This Row],[Cost]]</f>
        <v>98000</v>
      </c>
      <c r="P346" t="str">
        <f>TEXT(tblOrders[[#This Row],[OrderDate]],"mmm")</f>
        <v>Mar</v>
      </c>
    </row>
    <row r="347" spans="1:16" x14ac:dyDescent="0.25">
      <c r="A347" t="s">
        <v>1020</v>
      </c>
      <c r="B347" s="2">
        <v>45936</v>
      </c>
      <c r="C347" t="s">
        <v>99</v>
      </c>
      <c r="D347" t="s">
        <v>21</v>
      </c>
      <c r="E347" t="s">
        <v>22</v>
      </c>
      <c r="F347" t="s">
        <v>13</v>
      </c>
      <c r="G347">
        <v>7</v>
      </c>
      <c r="H347">
        <v>2000</v>
      </c>
      <c r="I347">
        <v>0</v>
      </c>
      <c r="J347" t="str">
        <f>_xlfn.XLOOKUP(tblOrders[[#This Row],[ProductID]],Products!$A$2:$A$9,Products!$B$2:$B$9,"Unknown")</f>
        <v>Headset</v>
      </c>
      <c r="K347" t="str">
        <f>_xlfn.XLOOKUP(tblOrders[[#This Row],[ProductID]],Products!$A$2:$A$9,Products!$C$2:$C$9,"Unknown")</f>
        <v>Accessories</v>
      </c>
      <c r="L347">
        <f>_xlfn.XLOOKUP(tblOrders[[#This Row],[ProductID]],Products!$A$2:$A$9,Products!$D$2:$D$9,0)</f>
        <v>1300</v>
      </c>
      <c r="M347">
        <f>tblOrders[[#This Row],[Quantity]]*tblOrders[[#This Row],[UnitPrice]]*(1-tblOrders[[#This Row],[Discount]])</f>
        <v>14000</v>
      </c>
      <c r="N347">
        <f>tblOrders[[#This Row],[Quantity]]*tblOrders[[#This Row],[UnitCost]]</f>
        <v>9100</v>
      </c>
      <c r="O347">
        <f>tblOrders[[#This Row],[Revenue]]-tblOrders[[#This Row],[Cost]]</f>
        <v>4900</v>
      </c>
      <c r="P347" t="str">
        <f>TEXT(tblOrders[[#This Row],[OrderDate]],"mmm")</f>
        <v>Oct</v>
      </c>
    </row>
    <row r="348" spans="1:16" x14ac:dyDescent="0.25">
      <c r="A348" t="s">
        <v>111</v>
      </c>
      <c r="B348" s="2">
        <v>45791</v>
      </c>
      <c r="C348" t="s">
        <v>97</v>
      </c>
      <c r="D348" t="s">
        <v>21</v>
      </c>
      <c r="E348" t="s">
        <v>22</v>
      </c>
      <c r="F348" t="s">
        <v>13</v>
      </c>
      <c r="G348">
        <v>6</v>
      </c>
      <c r="H348">
        <v>2000</v>
      </c>
      <c r="I348">
        <v>0.05</v>
      </c>
      <c r="J348" t="str">
        <f>_xlfn.XLOOKUP(tblOrders[[#This Row],[ProductID]],Products!$A$2:$A$9,Products!$B$2:$B$9,"Unknown")</f>
        <v>Headset</v>
      </c>
      <c r="K348" t="str">
        <f>_xlfn.XLOOKUP(tblOrders[[#This Row],[ProductID]],Products!$A$2:$A$9,Products!$C$2:$C$9,"Unknown")</f>
        <v>Accessories</v>
      </c>
      <c r="L348">
        <f>_xlfn.XLOOKUP(tblOrders[[#This Row],[ProductID]],Products!$A$2:$A$9,Products!$D$2:$D$9,0)</f>
        <v>1300</v>
      </c>
      <c r="M348">
        <f>tblOrders[[#This Row],[Quantity]]*tblOrders[[#This Row],[UnitPrice]]*(1-tblOrders[[#This Row],[Discount]])</f>
        <v>11400</v>
      </c>
      <c r="N348">
        <f>tblOrders[[#This Row],[Quantity]]*tblOrders[[#This Row],[UnitCost]]</f>
        <v>7800</v>
      </c>
      <c r="O348">
        <f>tblOrders[[#This Row],[Revenue]]-tblOrders[[#This Row],[Cost]]</f>
        <v>3600</v>
      </c>
      <c r="P348" t="str">
        <f>TEXT(tblOrders[[#This Row],[OrderDate]],"mmm")</f>
        <v>May</v>
      </c>
    </row>
    <row r="349" spans="1:16" x14ac:dyDescent="0.25">
      <c r="A349" t="s">
        <v>364</v>
      </c>
      <c r="B349" s="2">
        <v>45948</v>
      </c>
      <c r="C349" t="s">
        <v>25</v>
      </c>
      <c r="D349" t="s">
        <v>21</v>
      </c>
      <c r="E349" t="s">
        <v>28</v>
      </c>
      <c r="F349" t="s">
        <v>13</v>
      </c>
      <c r="G349">
        <v>11</v>
      </c>
      <c r="H349">
        <v>2000</v>
      </c>
      <c r="I349">
        <v>0</v>
      </c>
      <c r="J349" t="str">
        <f>_xlfn.XLOOKUP(tblOrders[[#This Row],[ProductID]],Products!$A$2:$A$9,Products!$B$2:$B$9,"Unknown")</f>
        <v>Headset</v>
      </c>
      <c r="K349" t="str">
        <f>_xlfn.XLOOKUP(tblOrders[[#This Row],[ProductID]],Products!$A$2:$A$9,Products!$C$2:$C$9,"Unknown")</f>
        <v>Accessories</v>
      </c>
      <c r="L349">
        <f>_xlfn.XLOOKUP(tblOrders[[#This Row],[ProductID]],Products!$A$2:$A$9,Products!$D$2:$D$9,0)</f>
        <v>1300</v>
      </c>
      <c r="M349">
        <f>tblOrders[[#This Row],[Quantity]]*tblOrders[[#This Row],[UnitPrice]]*(1-tblOrders[[#This Row],[Discount]])</f>
        <v>22000</v>
      </c>
      <c r="N349">
        <f>tblOrders[[#This Row],[Quantity]]*tblOrders[[#This Row],[UnitCost]]</f>
        <v>14300</v>
      </c>
      <c r="O349">
        <f>tblOrders[[#This Row],[Revenue]]-tblOrders[[#This Row],[Cost]]</f>
        <v>7700</v>
      </c>
      <c r="P349" t="str">
        <f>TEXT(tblOrders[[#This Row],[OrderDate]],"mmm")</f>
        <v>Oct</v>
      </c>
    </row>
    <row r="350" spans="1:16" x14ac:dyDescent="0.25">
      <c r="A350" t="s">
        <v>1070</v>
      </c>
      <c r="B350" s="2">
        <v>45770</v>
      </c>
      <c r="C350" t="s">
        <v>175</v>
      </c>
      <c r="D350" t="s">
        <v>16</v>
      </c>
      <c r="E350" t="s">
        <v>33</v>
      </c>
      <c r="F350" t="s">
        <v>18</v>
      </c>
      <c r="G350">
        <v>7</v>
      </c>
      <c r="H350">
        <v>18000</v>
      </c>
      <c r="I350">
        <v>0.05</v>
      </c>
      <c r="J350" t="str">
        <f>_xlfn.XLOOKUP(tblOrders[[#This Row],[ProductID]],Products!$A$2:$A$9,Products!$B$2:$B$9,"Unknown")</f>
        <v>Tablet</v>
      </c>
      <c r="K350" t="str">
        <f>_xlfn.XLOOKUP(tblOrders[[#This Row],[ProductID]],Products!$A$2:$A$9,Products!$C$2:$C$9,"Unknown")</f>
        <v>Electronics</v>
      </c>
      <c r="L350">
        <f>_xlfn.XLOOKUP(tblOrders[[#This Row],[ProductID]],Products!$A$2:$A$9,Products!$D$2:$D$9,0)</f>
        <v>13500</v>
      </c>
      <c r="M350">
        <f>tblOrders[[#This Row],[Quantity]]*tblOrders[[#This Row],[UnitPrice]]*(1-tblOrders[[#This Row],[Discount]])</f>
        <v>119700</v>
      </c>
      <c r="N350">
        <f>tblOrders[[#This Row],[Quantity]]*tblOrders[[#This Row],[UnitCost]]</f>
        <v>94500</v>
      </c>
      <c r="O350">
        <f>tblOrders[[#This Row],[Revenue]]-tblOrders[[#This Row],[Cost]]</f>
        <v>25200</v>
      </c>
      <c r="P350" t="str">
        <f>TEXT(tblOrders[[#This Row],[OrderDate]],"mmm")</f>
        <v>Apr</v>
      </c>
    </row>
    <row r="351" spans="1:16" x14ac:dyDescent="0.25">
      <c r="A351" t="s">
        <v>423</v>
      </c>
      <c r="B351" s="2">
        <v>45990</v>
      </c>
      <c r="C351" t="s">
        <v>136</v>
      </c>
      <c r="D351" t="s">
        <v>39</v>
      </c>
      <c r="E351" t="s">
        <v>76</v>
      </c>
      <c r="F351" t="s">
        <v>64</v>
      </c>
      <c r="G351">
        <v>8</v>
      </c>
      <c r="H351">
        <v>500</v>
      </c>
      <c r="I351">
        <v>0</v>
      </c>
      <c r="J351" t="str">
        <f>_xlfn.XLOOKUP(tblOrders[[#This Row],[ProductID]],Products!$A$2:$A$9,Products!$B$2:$B$9,"Unknown")</f>
        <v>Mouse</v>
      </c>
      <c r="K351" t="str">
        <f>_xlfn.XLOOKUP(tblOrders[[#This Row],[ProductID]],Products!$A$2:$A$9,Products!$C$2:$C$9,"Unknown")</f>
        <v>Accessories</v>
      </c>
      <c r="L351">
        <f>_xlfn.XLOOKUP(tblOrders[[#This Row],[ProductID]],Products!$A$2:$A$9,Products!$D$2:$D$9,0)</f>
        <v>320</v>
      </c>
      <c r="M351">
        <f>tblOrders[[#This Row],[Quantity]]*tblOrders[[#This Row],[UnitPrice]]*(1-tblOrders[[#This Row],[Discount]])</f>
        <v>4000</v>
      </c>
      <c r="N351">
        <f>tblOrders[[#This Row],[Quantity]]*tblOrders[[#This Row],[UnitCost]]</f>
        <v>2560</v>
      </c>
      <c r="O351">
        <f>tblOrders[[#This Row],[Revenue]]-tblOrders[[#This Row],[Cost]]</f>
        <v>1440</v>
      </c>
      <c r="P351" t="str">
        <f>TEXT(tblOrders[[#This Row],[OrderDate]],"mmm")</f>
        <v>Nov</v>
      </c>
    </row>
    <row r="352" spans="1:16" x14ac:dyDescent="0.25">
      <c r="A352" t="s">
        <v>567</v>
      </c>
      <c r="B352" s="2">
        <v>45929</v>
      </c>
      <c r="C352" t="s">
        <v>36</v>
      </c>
      <c r="D352" t="s">
        <v>21</v>
      </c>
      <c r="E352" t="s">
        <v>28</v>
      </c>
      <c r="F352" t="s">
        <v>69</v>
      </c>
      <c r="G352">
        <v>9</v>
      </c>
      <c r="H352">
        <v>12000</v>
      </c>
      <c r="I352">
        <v>0.05</v>
      </c>
      <c r="J352" t="str">
        <f>_xlfn.XLOOKUP(tblOrders[[#This Row],[ProductID]],Products!$A$2:$A$9,Products!$B$2:$B$9,"Unknown")</f>
        <v>Monitor</v>
      </c>
      <c r="K352" t="str">
        <f>_xlfn.XLOOKUP(tblOrders[[#This Row],[ProductID]],Products!$A$2:$A$9,Products!$C$2:$C$9,"Unknown")</f>
        <v>Electronics</v>
      </c>
      <c r="L352">
        <f>_xlfn.XLOOKUP(tblOrders[[#This Row],[ProductID]],Products!$A$2:$A$9,Products!$D$2:$D$9,0)</f>
        <v>9000</v>
      </c>
      <c r="M352">
        <f>tblOrders[[#This Row],[Quantity]]*tblOrders[[#This Row],[UnitPrice]]*(1-tblOrders[[#This Row],[Discount]])</f>
        <v>102600</v>
      </c>
      <c r="N352">
        <f>tblOrders[[#This Row],[Quantity]]*tblOrders[[#This Row],[UnitCost]]</f>
        <v>81000</v>
      </c>
      <c r="O352">
        <f>tblOrders[[#This Row],[Revenue]]-tblOrders[[#This Row],[Cost]]</f>
        <v>21600</v>
      </c>
      <c r="P352" t="str">
        <f>TEXT(tblOrders[[#This Row],[OrderDate]],"mmm")</f>
        <v>Sep</v>
      </c>
    </row>
    <row r="353" spans="1:16" x14ac:dyDescent="0.25">
      <c r="A353" t="s">
        <v>664</v>
      </c>
      <c r="B353" s="2">
        <v>45862</v>
      </c>
      <c r="C353" t="s">
        <v>10</v>
      </c>
      <c r="D353" t="s">
        <v>11</v>
      </c>
      <c r="E353" t="s">
        <v>46</v>
      </c>
      <c r="F353" t="s">
        <v>18</v>
      </c>
      <c r="G353">
        <v>12</v>
      </c>
      <c r="H353">
        <v>18000</v>
      </c>
      <c r="I353">
        <v>0</v>
      </c>
      <c r="J353" t="str">
        <f>_xlfn.XLOOKUP(tblOrders[[#This Row],[ProductID]],Products!$A$2:$A$9,Products!$B$2:$B$9,"Unknown")</f>
        <v>Tablet</v>
      </c>
      <c r="K353" t="str">
        <f>_xlfn.XLOOKUP(tblOrders[[#This Row],[ProductID]],Products!$A$2:$A$9,Products!$C$2:$C$9,"Unknown")</f>
        <v>Electronics</v>
      </c>
      <c r="L353">
        <f>_xlfn.XLOOKUP(tblOrders[[#This Row],[ProductID]],Products!$A$2:$A$9,Products!$D$2:$D$9,0)</f>
        <v>13500</v>
      </c>
      <c r="M353">
        <f>tblOrders[[#This Row],[Quantity]]*tblOrders[[#This Row],[UnitPrice]]*(1-tblOrders[[#This Row],[Discount]])</f>
        <v>216000</v>
      </c>
      <c r="N353">
        <f>tblOrders[[#This Row],[Quantity]]*tblOrders[[#This Row],[UnitCost]]</f>
        <v>162000</v>
      </c>
      <c r="O353">
        <f>tblOrders[[#This Row],[Revenue]]-tblOrders[[#This Row],[Cost]]</f>
        <v>54000</v>
      </c>
      <c r="P353" t="str">
        <f>TEXT(tblOrders[[#This Row],[OrderDate]],"mmm")</f>
        <v>Jul</v>
      </c>
    </row>
    <row r="354" spans="1:16" x14ac:dyDescent="0.25">
      <c r="A354" t="s">
        <v>971</v>
      </c>
      <c r="B354" s="2">
        <v>45842</v>
      </c>
      <c r="C354" t="s">
        <v>195</v>
      </c>
      <c r="D354" t="s">
        <v>39</v>
      </c>
      <c r="E354" t="s">
        <v>76</v>
      </c>
      <c r="F354" t="s">
        <v>55</v>
      </c>
      <c r="G354">
        <v>9</v>
      </c>
      <c r="H354">
        <v>8000</v>
      </c>
      <c r="I354">
        <v>0.15</v>
      </c>
      <c r="J354" t="str">
        <f>_xlfn.XLOOKUP(tblOrders[[#This Row],[ProductID]],Products!$A$2:$A$9,Products!$B$2:$B$9,"Unknown")</f>
        <v>Printer</v>
      </c>
      <c r="K354" t="str">
        <f>_xlfn.XLOOKUP(tblOrders[[#This Row],[ProductID]],Products!$A$2:$A$9,Products!$C$2:$C$9,"Unknown")</f>
        <v>Electronics</v>
      </c>
      <c r="L354">
        <f>_xlfn.XLOOKUP(tblOrders[[#This Row],[ProductID]],Products!$A$2:$A$9,Products!$D$2:$D$9,0)</f>
        <v>6200</v>
      </c>
      <c r="M354">
        <f>tblOrders[[#This Row],[Quantity]]*tblOrders[[#This Row],[UnitPrice]]*(1-tblOrders[[#This Row],[Discount]])</f>
        <v>61200</v>
      </c>
      <c r="N354">
        <f>tblOrders[[#This Row],[Quantity]]*tblOrders[[#This Row],[UnitCost]]</f>
        <v>55800</v>
      </c>
      <c r="O354">
        <f>tblOrders[[#This Row],[Revenue]]-tblOrders[[#This Row],[Cost]]</f>
        <v>5400</v>
      </c>
      <c r="P354" t="str">
        <f>TEXT(tblOrders[[#This Row],[OrderDate]],"mmm")</f>
        <v>Jul</v>
      </c>
    </row>
    <row r="355" spans="1:16" x14ac:dyDescent="0.25">
      <c r="A355" t="s">
        <v>1027</v>
      </c>
      <c r="B355" s="2">
        <v>45662</v>
      </c>
      <c r="C355" t="s">
        <v>38</v>
      </c>
      <c r="D355" t="s">
        <v>16</v>
      </c>
      <c r="E355" t="s">
        <v>33</v>
      </c>
      <c r="F355" t="s">
        <v>13</v>
      </c>
      <c r="G355">
        <v>10</v>
      </c>
      <c r="H355">
        <v>2000</v>
      </c>
      <c r="I355">
        <v>0</v>
      </c>
      <c r="J355" t="str">
        <f>_xlfn.XLOOKUP(tblOrders[[#This Row],[ProductID]],Products!$A$2:$A$9,Products!$B$2:$B$9,"Unknown")</f>
        <v>Headset</v>
      </c>
      <c r="K355" t="str">
        <f>_xlfn.XLOOKUP(tblOrders[[#This Row],[ProductID]],Products!$A$2:$A$9,Products!$C$2:$C$9,"Unknown")</f>
        <v>Accessories</v>
      </c>
      <c r="L355">
        <f>_xlfn.XLOOKUP(tblOrders[[#This Row],[ProductID]],Products!$A$2:$A$9,Products!$D$2:$D$9,0)</f>
        <v>1300</v>
      </c>
      <c r="M355">
        <f>tblOrders[[#This Row],[Quantity]]*tblOrders[[#This Row],[UnitPrice]]*(1-tblOrders[[#This Row],[Discount]])</f>
        <v>20000</v>
      </c>
      <c r="N355">
        <f>tblOrders[[#This Row],[Quantity]]*tblOrders[[#This Row],[UnitCost]]</f>
        <v>13000</v>
      </c>
      <c r="O355">
        <f>tblOrders[[#This Row],[Revenue]]-tblOrders[[#This Row],[Cost]]</f>
        <v>7000</v>
      </c>
      <c r="P355" t="str">
        <f>TEXT(tblOrders[[#This Row],[OrderDate]],"mmm")</f>
        <v>Jan</v>
      </c>
    </row>
    <row r="356" spans="1:16" x14ac:dyDescent="0.25">
      <c r="A356" t="s">
        <v>279</v>
      </c>
      <c r="B356" s="2">
        <v>45784</v>
      </c>
      <c r="C356" t="s">
        <v>97</v>
      </c>
      <c r="D356" t="s">
        <v>16</v>
      </c>
      <c r="E356" t="s">
        <v>17</v>
      </c>
      <c r="F356" t="s">
        <v>64</v>
      </c>
      <c r="G356">
        <v>14</v>
      </c>
      <c r="H356">
        <v>500</v>
      </c>
      <c r="I356">
        <v>0</v>
      </c>
      <c r="J356" t="str">
        <f>_xlfn.XLOOKUP(tblOrders[[#This Row],[ProductID]],Products!$A$2:$A$9,Products!$B$2:$B$9,"Unknown")</f>
        <v>Mouse</v>
      </c>
      <c r="K356" t="str">
        <f>_xlfn.XLOOKUP(tblOrders[[#This Row],[ProductID]],Products!$A$2:$A$9,Products!$C$2:$C$9,"Unknown")</f>
        <v>Accessories</v>
      </c>
      <c r="L356">
        <f>_xlfn.XLOOKUP(tblOrders[[#This Row],[ProductID]],Products!$A$2:$A$9,Products!$D$2:$D$9,0)</f>
        <v>320</v>
      </c>
      <c r="M356">
        <f>tblOrders[[#This Row],[Quantity]]*tblOrders[[#This Row],[UnitPrice]]*(1-tblOrders[[#This Row],[Discount]])</f>
        <v>7000</v>
      </c>
      <c r="N356">
        <f>tblOrders[[#This Row],[Quantity]]*tblOrders[[#This Row],[UnitCost]]</f>
        <v>4480</v>
      </c>
      <c r="O356">
        <f>tblOrders[[#This Row],[Revenue]]-tblOrders[[#This Row],[Cost]]</f>
        <v>2520</v>
      </c>
      <c r="P356" t="str">
        <f>TEXT(tblOrders[[#This Row],[OrderDate]],"mmm")</f>
        <v>May</v>
      </c>
    </row>
    <row r="357" spans="1:16" x14ac:dyDescent="0.25">
      <c r="A357" t="s">
        <v>986</v>
      </c>
      <c r="B357" s="2">
        <v>45819</v>
      </c>
      <c r="C357" t="s">
        <v>68</v>
      </c>
      <c r="D357" t="s">
        <v>11</v>
      </c>
      <c r="E357" t="s">
        <v>46</v>
      </c>
      <c r="F357" t="s">
        <v>43</v>
      </c>
      <c r="G357">
        <v>2</v>
      </c>
      <c r="H357">
        <v>1500</v>
      </c>
      <c r="I357">
        <v>0.1</v>
      </c>
      <c r="J357" t="str">
        <f>_xlfn.XLOOKUP(tblOrders[[#This Row],[ProductID]],Products!$A$2:$A$9,Products!$B$2:$B$9,"Unknown")</f>
        <v>Webcam</v>
      </c>
      <c r="K357" t="str">
        <f>_xlfn.XLOOKUP(tblOrders[[#This Row],[ProductID]],Products!$A$2:$A$9,Products!$C$2:$C$9,"Unknown")</f>
        <v>Accessories</v>
      </c>
      <c r="L357">
        <f>_xlfn.XLOOKUP(tblOrders[[#This Row],[ProductID]],Products!$A$2:$A$9,Products!$D$2:$D$9,0)</f>
        <v>980</v>
      </c>
      <c r="M357">
        <f>tblOrders[[#This Row],[Quantity]]*tblOrders[[#This Row],[UnitPrice]]*(1-tblOrders[[#This Row],[Discount]])</f>
        <v>2700</v>
      </c>
      <c r="N357">
        <f>tblOrders[[#This Row],[Quantity]]*tblOrders[[#This Row],[UnitCost]]</f>
        <v>1960</v>
      </c>
      <c r="O357">
        <f>tblOrders[[#This Row],[Revenue]]-tblOrders[[#This Row],[Cost]]</f>
        <v>740</v>
      </c>
      <c r="P357" t="str">
        <f>TEXT(tblOrders[[#This Row],[OrderDate]],"mmm")</f>
        <v>Jun</v>
      </c>
    </row>
    <row r="358" spans="1:16" x14ac:dyDescent="0.25">
      <c r="A358" t="s">
        <v>845</v>
      </c>
      <c r="B358" s="2">
        <v>45685</v>
      </c>
      <c r="C358" t="s">
        <v>25</v>
      </c>
      <c r="D358" t="s">
        <v>21</v>
      </c>
      <c r="E358" t="s">
        <v>28</v>
      </c>
      <c r="F358" t="s">
        <v>55</v>
      </c>
      <c r="G358">
        <v>5</v>
      </c>
      <c r="H358">
        <v>8000</v>
      </c>
      <c r="I358">
        <v>0.1</v>
      </c>
      <c r="J358" t="str">
        <f>_xlfn.XLOOKUP(tblOrders[[#This Row],[ProductID]],Products!$A$2:$A$9,Products!$B$2:$B$9,"Unknown")</f>
        <v>Printer</v>
      </c>
      <c r="K358" t="str">
        <f>_xlfn.XLOOKUP(tblOrders[[#This Row],[ProductID]],Products!$A$2:$A$9,Products!$C$2:$C$9,"Unknown")</f>
        <v>Electronics</v>
      </c>
      <c r="L358">
        <f>_xlfn.XLOOKUP(tblOrders[[#This Row],[ProductID]],Products!$A$2:$A$9,Products!$D$2:$D$9,0)</f>
        <v>6200</v>
      </c>
      <c r="M358">
        <f>tblOrders[[#This Row],[Quantity]]*tblOrders[[#This Row],[UnitPrice]]*(1-tblOrders[[#This Row],[Discount]])</f>
        <v>36000</v>
      </c>
      <c r="N358">
        <f>tblOrders[[#This Row],[Quantity]]*tblOrders[[#This Row],[UnitCost]]</f>
        <v>31000</v>
      </c>
      <c r="O358">
        <f>tblOrders[[#This Row],[Revenue]]-tblOrders[[#This Row],[Cost]]</f>
        <v>5000</v>
      </c>
      <c r="P358" t="str">
        <f>TEXT(tblOrders[[#This Row],[OrderDate]],"mmm")</f>
        <v>Jan</v>
      </c>
    </row>
    <row r="359" spans="1:16" x14ac:dyDescent="0.25">
      <c r="A359" t="s">
        <v>580</v>
      </c>
      <c r="B359" s="2">
        <v>45989</v>
      </c>
      <c r="C359" t="s">
        <v>71</v>
      </c>
      <c r="D359" t="s">
        <v>16</v>
      </c>
      <c r="E359" t="s">
        <v>17</v>
      </c>
      <c r="F359" t="s">
        <v>13</v>
      </c>
      <c r="G359">
        <v>2</v>
      </c>
      <c r="H359">
        <v>2000</v>
      </c>
      <c r="I359">
        <v>0</v>
      </c>
      <c r="J359" t="str">
        <f>_xlfn.XLOOKUP(tblOrders[[#This Row],[ProductID]],Products!$A$2:$A$9,Products!$B$2:$B$9,"Unknown")</f>
        <v>Headset</v>
      </c>
      <c r="K359" t="str">
        <f>_xlfn.XLOOKUP(tblOrders[[#This Row],[ProductID]],Products!$A$2:$A$9,Products!$C$2:$C$9,"Unknown")</f>
        <v>Accessories</v>
      </c>
      <c r="L359">
        <f>_xlfn.XLOOKUP(tblOrders[[#This Row],[ProductID]],Products!$A$2:$A$9,Products!$D$2:$D$9,0)</f>
        <v>1300</v>
      </c>
      <c r="M359">
        <f>tblOrders[[#This Row],[Quantity]]*tblOrders[[#This Row],[UnitPrice]]*(1-tblOrders[[#This Row],[Discount]])</f>
        <v>4000</v>
      </c>
      <c r="N359">
        <f>tblOrders[[#This Row],[Quantity]]*tblOrders[[#This Row],[UnitCost]]</f>
        <v>2600</v>
      </c>
      <c r="O359">
        <f>tblOrders[[#This Row],[Revenue]]-tblOrders[[#This Row],[Cost]]</f>
        <v>1400</v>
      </c>
      <c r="P359" t="str">
        <f>TEXT(tblOrders[[#This Row],[OrderDate]],"mmm")</f>
        <v>Nov</v>
      </c>
    </row>
    <row r="360" spans="1:16" x14ac:dyDescent="0.25">
      <c r="A360" t="s">
        <v>611</v>
      </c>
      <c r="B360" s="2">
        <v>45701</v>
      </c>
      <c r="C360" t="s">
        <v>135</v>
      </c>
      <c r="D360" t="s">
        <v>39</v>
      </c>
      <c r="E360" t="s">
        <v>40</v>
      </c>
      <c r="F360" t="s">
        <v>55</v>
      </c>
      <c r="G360">
        <v>14</v>
      </c>
      <c r="H360">
        <v>8000</v>
      </c>
      <c r="I360">
        <v>0</v>
      </c>
      <c r="J360" t="str">
        <f>_xlfn.XLOOKUP(tblOrders[[#This Row],[ProductID]],Products!$A$2:$A$9,Products!$B$2:$B$9,"Unknown")</f>
        <v>Printer</v>
      </c>
      <c r="K360" t="str">
        <f>_xlfn.XLOOKUP(tblOrders[[#This Row],[ProductID]],Products!$A$2:$A$9,Products!$C$2:$C$9,"Unknown")</f>
        <v>Electronics</v>
      </c>
      <c r="L360">
        <f>_xlfn.XLOOKUP(tblOrders[[#This Row],[ProductID]],Products!$A$2:$A$9,Products!$D$2:$D$9,0)</f>
        <v>6200</v>
      </c>
      <c r="M360">
        <f>tblOrders[[#This Row],[Quantity]]*tblOrders[[#This Row],[UnitPrice]]*(1-tblOrders[[#This Row],[Discount]])</f>
        <v>112000</v>
      </c>
      <c r="N360">
        <f>tblOrders[[#This Row],[Quantity]]*tblOrders[[#This Row],[UnitCost]]</f>
        <v>86800</v>
      </c>
      <c r="O360">
        <f>tblOrders[[#This Row],[Revenue]]-tblOrders[[#This Row],[Cost]]</f>
        <v>25200</v>
      </c>
      <c r="P360" t="str">
        <f>TEXT(tblOrders[[#This Row],[OrderDate]],"mmm")</f>
        <v>Feb</v>
      </c>
    </row>
    <row r="361" spans="1:16" x14ac:dyDescent="0.25">
      <c r="A361" t="s">
        <v>334</v>
      </c>
      <c r="B361" s="2">
        <v>45820</v>
      </c>
      <c r="C361" t="s">
        <v>52</v>
      </c>
      <c r="D361" t="s">
        <v>11</v>
      </c>
      <c r="E361" t="s">
        <v>46</v>
      </c>
      <c r="F361" t="s">
        <v>69</v>
      </c>
      <c r="G361">
        <v>13</v>
      </c>
      <c r="H361">
        <v>12000</v>
      </c>
      <c r="I361">
        <v>0</v>
      </c>
      <c r="J361" t="str">
        <f>_xlfn.XLOOKUP(tblOrders[[#This Row],[ProductID]],Products!$A$2:$A$9,Products!$B$2:$B$9,"Unknown")</f>
        <v>Monitor</v>
      </c>
      <c r="K361" t="str">
        <f>_xlfn.XLOOKUP(tblOrders[[#This Row],[ProductID]],Products!$A$2:$A$9,Products!$C$2:$C$9,"Unknown")</f>
        <v>Electronics</v>
      </c>
      <c r="L361">
        <f>_xlfn.XLOOKUP(tblOrders[[#This Row],[ProductID]],Products!$A$2:$A$9,Products!$D$2:$D$9,0)</f>
        <v>9000</v>
      </c>
      <c r="M361">
        <f>tblOrders[[#This Row],[Quantity]]*tblOrders[[#This Row],[UnitPrice]]*(1-tblOrders[[#This Row],[Discount]])</f>
        <v>156000</v>
      </c>
      <c r="N361">
        <f>tblOrders[[#This Row],[Quantity]]*tblOrders[[#This Row],[UnitCost]]</f>
        <v>117000</v>
      </c>
      <c r="O361">
        <f>tblOrders[[#This Row],[Revenue]]-tblOrders[[#This Row],[Cost]]</f>
        <v>39000</v>
      </c>
      <c r="P361" t="str">
        <f>TEXT(tblOrders[[#This Row],[OrderDate]],"mmm")</f>
        <v>Jun</v>
      </c>
    </row>
    <row r="362" spans="1:16" x14ac:dyDescent="0.25">
      <c r="A362" t="s">
        <v>616</v>
      </c>
      <c r="B362" s="2">
        <v>45687</v>
      </c>
      <c r="C362" t="s">
        <v>99</v>
      </c>
      <c r="D362" t="s">
        <v>39</v>
      </c>
      <c r="E362" t="s">
        <v>40</v>
      </c>
      <c r="F362" t="s">
        <v>34</v>
      </c>
      <c r="G362">
        <v>7</v>
      </c>
      <c r="H362">
        <v>55000</v>
      </c>
      <c r="I362">
        <v>0.1</v>
      </c>
      <c r="J362" t="str">
        <f>_xlfn.XLOOKUP(tblOrders[[#This Row],[ProductID]],Products!$A$2:$A$9,Products!$B$2:$B$9,"Unknown")</f>
        <v>Laptop</v>
      </c>
      <c r="K362" t="str">
        <f>_xlfn.XLOOKUP(tblOrders[[#This Row],[ProductID]],Products!$A$2:$A$9,Products!$C$2:$C$9,"Unknown")</f>
        <v>Electronics</v>
      </c>
      <c r="L362">
        <f>_xlfn.XLOOKUP(tblOrders[[#This Row],[ProductID]],Products!$A$2:$A$9,Products!$D$2:$D$9,0)</f>
        <v>41000</v>
      </c>
      <c r="M362">
        <f>tblOrders[[#This Row],[Quantity]]*tblOrders[[#This Row],[UnitPrice]]*(1-tblOrders[[#This Row],[Discount]])</f>
        <v>346500</v>
      </c>
      <c r="N362">
        <f>tblOrders[[#This Row],[Quantity]]*tblOrders[[#This Row],[UnitCost]]</f>
        <v>287000</v>
      </c>
      <c r="O362">
        <f>tblOrders[[#This Row],[Revenue]]-tblOrders[[#This Row],[Cost]]</f>
        <v>59500</v>
      </c>
      <c r="P362" t="str">
        <f>TEXT(tblOrders[[#This Row],[OrderDate]],"mmm")</f>
        <v>Jan</v>
      </c>
    </row>
    <row r="363" spans="1:16" x14ac:dyDescent="0.25">
      <c r="A363" t="s">
        <v>527</v>
      </c>
      <c r="B363" s="2">
        <v>45832</v>
      </c>
      <c r="C363" t="s">
        <v>38</v>
      </c>
      <c r="D363" t="s">
        <v>21</v>
      </c>
      <c r="E363" t="s">
        <v>28</v>
      </c>
      <c r="F363" t="s">
        <v>55</v>
      </c>
      <c r="G363">
        <v>10</v>
      </c>
      <c r="H363">
        <v>8000</v>
      </c>
      <c r="I363">
        <v>0.1</v>
      </c>
      <c r="J363" t="str">
        <f>_xlfn.XLOOKUP(tblOrders[[#This Row],[ProductID]],Products!$A$2:$A$9,Products!$B$2:$B$9,"Unknown")</f>
        <v>Printer</v>
      </c>
      <c r="K363" t="str">
        <f>_xlfn.XLOOKUP(tblOrders[[#This Row],[ProductID]],Products!$A$2:$A$9,Products!$C$2:$C$9,"Unknown")</f>
        <v>Electronics</v>
      </c>
      <c r="L363">
        <f>_xlfn.XLOOKUP(tblOrders[[#This Row],[ProductID]],Products!$A$2:$A$9,Products!$D$2:$D$9,0)</f>
        <v>6200</v>
      </c>
      <c r="M363">
        <f>tblOrders[[#This Row],[Quantity]]*tblOrders[[#This Row],[UnitPrice]]*(1-tblOrders[[#This Row],[Discount]])</f>
        <v>72000</v>
      </c>
      <c r="N363">
        <f>tblOrders[[#This Row],[Quantity]]*tblOrders[[#This Row],[UnitCost]]</f>
        <v>62000</v>
      </c>
      <c r="O363">
        <f>tblOrders[[#This Row],[Revenue]]-tblOrders[[#This Row],[Cost]]</f>
        <v>10000</v>
      </c>
      <c r="P363" t="str">
        <f>TEXT(tblOrders[[#This Row],[OrderDate]],"mmm")</f>
        <v>Jun</v>
      </c>
    </row>
    <row r="364" spans="1:16" x14ac:dyDescent="0.25">
      <c r="A364" t="s">
        <v>907</v>
      </c>
      <c r="B364" s="2">
        <v>45872</v>
      </c>
      <c r="C364" t="s">
        <v>59</v>
      </c>
      <c r="D364" t="s">
        <v>16</v>
      </c>
      <c r="E364" t="s">
        <v>17</v>
      </c>
      <c r="F364" t="s">
        <v>18</v>
      </c>
      <c r="G364">
        <v>3</v>
      </c>
      <c r="H364">
        <v>18000</v>
      </c>
      <c r="I364">
        <v>0</v>
      </c>
      <c r="J364" t="str">
        <f>_xlfn.XLOOKUP(tblOrders[[#This Row],[ProductID]],Products!$A$2:$A$9,Products!$B$2:$B$9,"Unknown")</f>
        <v>Tablet</v>
      </c>
      <c r="K364" t="str">
        <f>_xlfn.XLOOKUP(tblOrders[[#This Row],[ProductID]],Products!$A$2:$A$9,Products!$C$2:$C$9,"Unknown")</f>
        <v>Electronics</v>
      </c>
      <c r="L364">
        <f>_xlfn.XLOOKUP(tblOrders[[#This Row],[ProductID]],Products!$A$2:$A$9,Products!$D$2:$D$9,0)</f>
        <v>13500</v>
      </c>
      <c r="M364">
        <f>tblOrders[[#This Row],[Quantity]]*tblOrders[[#This Row],[UnitPrice]]*(1-tblOrders[[#This Row],[Discount]])</f>
        <v>54000</v>
      </c>
      <c r="N364">
        <f>tblOrders[[#This Row],[Quantity]]*tblOrders[[#This Row],[UnitCost]]</f>
        <v>40500</v>
      </c>
      <c r="O364">
        <f>tblOrders[[#This Row],[Revenue]]-tblOrders[[#This Row],[Cost]]</f>
        <v>13500</v>
      </c>
      <c r="P364" t="str">
        <f>TEXT(tblOrders[[#This Row],[OrderDate]],"mmm")</f>
        <v>Aug</v>
      </c>
    </row>
    <row r="365" spans="1:16" x14ac:dyDescent="0.25">
      <c r="A365" t="s">
        <v>581</v>
      </c>
      <c r="B365" s="2">
        <v>45851</v>
      </c>
      <c r="C365" t="s">
        <v>59</v>
      </c>
      <c r="D365" t="s">
        <v>39</v>
      </c>
      <c r="E365" t="s">
        <v>76</v>
      </c>
      <c r="F365" t="s">
        <v>13</v>
      </c>
      <c r="G365">
        <v>13</v>
      </c>
      <c r="H365">
        <v>2000</v>
      </c>
      <c r="I365">
        <v>0</v>
      </c>
      <c r="J365" t="str">
        <f>_xlfn.XLOOKUP(tblOrders[[#This Row],[ProductID]],Products!$A$2:$A$9,Products!$B$2:$B$9,"Unknown")</f>
        <v>Headset</v>
      </c>
      <c r="K365" t="str">
        <f>_xlfn.XLOOKUP(tblOrders[[#This Row],[ProductID]],Products!$A$2:$A$9,Products!$C$2:$C$9,"Unknown")</f>
        <v>Accessories</v>
      </c>
      <c r="L365">
        <f>_xlfn.XLOOKUP(tblOrders[[#This Row],[ProductID]],Products!$A$2:$A$9,Products!$D$2:$D$9,0)</f>
        <v>1300</v>
      </c>
      <c r="M365">
        <f>tblOrders[[#This Row],[Quantity]]*tblOrders[[#This Row],[UnitPrice]]*(1-tblOrders[[#This Row],[Discount]])</f>
        <v>26000</v>
      </c>
      <c r="N365">
        <f>tblOrders[[#This Row],[Quantity]]*tblOrders[[#This Row],[UnitCost]]</f>
        <v>16900</v>
      </c>
      <c r="O365">
        <f>tblOrders[[#This Row],[Revenue]]-tblOrders[[#This Row],[Cost]]</f>
        <v>9100</v>
      </c>
      <c r="P365" t="str">
        <f>TEXT(tblOrders[[#This Row],[OrderDate]],"mmm")</f>
        <v>Jul</v>
      </c>
    </row>
    <row r="366" spans="1:16" x14ac:dyDescent="0.25">
      <c r="A366" t="s">
        <v>1022</v>
      </c>
      <c r="B366" s="2">
        <v>45694</v>
      </c>
      <c r="C366" t="s">
        <v>238</v>
      </c>
      <c r="D366" t="s">
        <v>21</v>
      </c>
      <c r="E366" t="s">
        <v>22</v>
      </c>
      <c r="F366" t="s">
        <v>64</v>
      </c>
      <c r="G366">
        <v>11</v>
      </c>
      <c r="H366">
        <v>500</v>
      </c>
      <c r="I366">
        <v>0.1</v>
      </c>
      <c r="J366" t="str">
        <f>_xlfn.XLOOKUP(tblOrders[[#This Row],[ProductID]],Products!$A$2:$A$9,Products!$B$2:$B$9,"Unknown")</f>
        <v>Mouse</v>
      </c>
      <c r="K366" t="str">
        <f>_xlfn.XLOOKUP(tblOrders[[#This Row],[ProductID]],Products!$A$2:$A$9,Products!$C$2:$C$9,"Unknown")</f>
        <v>Accessories</v>
      </c>
      <c r="L366">
        <f>_xlfn.XLOOKUP(tblOrders[[#This Row],[ProductID]],Products!$A$2:$A$9,Products!$D$2:$D$9,0)</f>
        <v>320</v>
      </c>
      <c r="M366">
        <f>tblOrders[[#This Row],[Quantity]]*tblOrders[[#This Row],[UnitPrice]]*(1-tblOrders[[#This Row],[Discount]])</f>
        <v>4950</v>
      </c>
      <c r="N366">
        <f>tblOrders[[#This Row],[Quantity]]*tblOrders[[#This Row],[UnitCost]]</f>
        <v>3520</v>
      </c>
      <c r="O366">
        <f>tblOrders[[#This Row],[Revenue]]-tblOrders[[#This Row],[Cost]]</f>
        <v>1430</v>
      </c>
      <c r="P366" t="str">
        <f>TEXT(tblOrders[[#This Row],[OrderDate]],"mmm")</f>
        <v>Feb</v>
      </c>
    </row>
    <row r="367" spans="1:16" x14ac:dyDescent="0.25">
      <c r="A367" t="s">
        <v>984</v>
      </c>
      <c r="B367" s="2">
        <v>46017</v>
      </c>
      <c r="C367" t="s">
        <v>52</v>
      </c>
      <c r="D367" t="s">
        <v>21</v>
      </c>
      <c r="E367" t="s">
        <v>22</v>
      </c>
      <c r="F367" t="s">
        <v>13</v>
      </c>
      <c r="G367">
        <v>5</v>
      </c>
      <c r="H367">
        <v>2000</v>
      </c>
      <c r="I367">
        <v>0.15</v>
      </c>
      <c r="J367" t="str">
        <f>_xlfn.XLOOKUP(tblOrders[[#This Row],[ProductID]],Products!$A$2:$A$9,Products!$B$2:$B$9,"Unknown")</f>
        <v>Headset</v>
      </c>
      <c r="K367" t="str">
        <f>_xlfn.XLOOKUP(tblOrders[[#This Row],[ProductID]],Products!$A$2:$A$9,Products!$C$2:$C$9,"Unknown")</f>
        <v>Accessories</v>
      </c>
      <c r="L367">
        <f>_xlfn.XLOOKUP(tblOrders[[#This Row],[ProductID]],Products!$A$2:$A$9,Products!$D$2:$D$9,0)</f>
        <v>1300</v>
      </c>
      <c r="M367">
        <f>tblOrders[[#This Row],[Quantity]]*tblOrders[[#This Row],[UnitPrice]]*(1-tblOrders[[#This Row],[Discount]])</f>
        <v>8500</v>
      </c>
      <c r="N367">
        <f>tblOrders[[#This Row],[Quantity]]*tblOrders[[#This Row],[UnitCost]]</f>
        <v>6500</v>
      </c>
      <c r="O367">
        <f>tblOrders[[#This Row],[Revenue]]-tblOrders[[#This Row],[Cost]]</f>
        <v>2000</v>
      </c>
      <c r="P367" t="str">
        <f>TEXT(tblOrders[[#This Row],[OrderDate]],"mmm")</f>
        <v>Dec</v>
      </c>
    </row>
    <row r="368" spans="1:16" x14ac:dyDescent="0.25">
      <c r="A368" t="s">
        <v>769</v>
      </c>
      <c r="B368" s="2">
        <v>45766</v>
      </c>
      <c r="C368" t="s">
        <v>78</v>
      </c>
      <c r="D368" t="s">
        <v>21</v>
      </c>
      <c r="E368" t="s">
        <v>22</v>
      </c>
      <c r="F368" t="s">
        <v>13</v>
      </c>
      <c r="G368">
        <v>6</v>
      </c>
      <c r="H368">
        <v>2000</v>
      </c>
      <c r="I368">
        <v>0.1</v>
      </c>
      <c r="J368" t="str">
        <f>_xlfn.XLOOKUP(tblOrders[[#This Row],[ProductID]],Products!$A$2:$A$9,Products!$B$2:$B$9,"Unknown")</f>
        <v>Headset</v>
      </c>
      <c r="K368" t="str">
        <f>_xlfn.XLOOKUP(tblOrders[[#This Row],[ProductID]],Products!$A$2:$A$9,Products!$C$2:$C$9,"Unknown")</f>
        <v>Accessories</v>
      </c>
      <c r="L368">
        <f>_xlfn.XLOOKUP(tblOrders[[#This Row],[ProductID]],Products!$A$2:$A$9,Products!$D$2:$D$9,0)</f>
        <v>1300</v>
      </c>
      <c r="M368">
        <f>tblOrders[[#This Row],[Quantity]]*tblOrders[[#This Row],[UnitPrice]]*(1-tblOrders[[#This Row],[Discount]])</f>
        <v>10800</v>
      </c>
      <c r="N368">
        <f>tblOrders[[#This Row],[Quantity]]*tblOrders[[#This Row],[UnitCost]]</f>
        <v>7800</v>
      </c>
      <c r="O368">
        <f>tblOrders[[#This Row],[Revenue]]-tblOrders[[#This Row],[Cost]]</f>
        <v>3000</v>
      </c>
      <c r="P368" t="str">
        <f>TEXT(tblOrders[[#This Row],[OrderDate]],"mmm")</f>
        <v>Apr</v>
      </c>
    </row>
    <row r="369" spans="1:16" x14ac:dyDescent="0.25">
      <c r="A369" t="s">
        <v>760</v>
      </c>
      <c r="B369" s="2">
        <v>45737</v>
      </c>
      <c r="C369" t="s">
        <v>73</v>
      </c>
      <c r="D369" t="s">
        <v>16</v>
      </c>
      <c r="E369" t="s">
        <v>33</v>
      </c>
      <c r="F369" t="s">
        <v>43</v>
      </c>
      <c r="G369">
        <v>7</v>
      </c>
      <c r="H369">
        <v>1500</v>
      </c>
      <c r="I369">
        <v>0</v>
      </c>
      <c r="J369" t="str">
        <f>_xlfn.XLOOKUP(tblOrders[[#This Row],[ProductID]],Products!$A$2:$A$9,Products!$B$2:$B$9,"Unknown")</f>
        <v>Webcam</v>
      </c>
      <c r="K369" t="str">
        <f>_xlfn.XLOOKUP(tblOrders[[#This Row],[ProductID]],Products!$A$2:$A$9,Products!$C$2:$C$9,"Unknown")</f>
        <v>Accessories</v>
      </c>
      <c r="L369">
        <f>_xlfn.XLOOKUP(tblOrders[[#This Row],[ProductID]],Products!$A$2:$A$9,Products!$D$2:$D$9,0)</f>
        <v>980</v>
      </c>
      <c r="M369">
        <f>tblOrders[[#This Row],[Quantity]]*tblOrders[[#This Row],[UnitPrice]]*(1-tblOrders[[#This Row],[Discount]])</f>
        <v>10500</v>
      </c>
      <c r="N369">
        <f>tblOrders[[#This Row],[Quantity]]*tblOrders[[#This Row],[UnitCost]]</f>
        <v>6860</v>
      </c>
      <c r="O369">
        <f>tblOrders[[#This Row],[Revenue]]-tblOrders[[#This Row],[Cost]]</f>
        <v>3640</v>
      </c>
      <c r="P369" t="str">
        <f>TEXT(tblOrders[[#This Row],[OrderDate]],"mmm")</f>
        <v>Mar</v>
      </c>
    </row>
    <row r="370" spans="1:16" x14ac:dyDescent="0.25">
      <c r="A370" t="s">
        <v>612</v>
      </c>
      <c r="B370" s="2">
        <v>45851</v>
      </c>
      <c r="C370" t="s">
        <v>115</v>
      </c>
      <c r="D370" t="s">
        <v>11</v>
      </c>
      <c r="E370" t="s">
        <v>46</v>
      </c>
      <c r="F370" t="s">
        <v>43</v>
      </c>
      <c r="G370">
        <v>8</v>
      </c>
      <c r="H370">
        <v>1500</v>
      </c>
      <c r="I370">
        <v>0.05</v>
      </c>
      <c r="J370" t="str">
        <f>_xlfn.XLOOKUP(tblOrders[[#This Row],[ProductID]],Products!$A$2:$A$9,Products!$B$2:$B$9,"Unknown")</f>
        <v>Webcam</v>
      </c>
      <c r="K370" t="str">
        <f>_xlfn.XLOOKUP(tblOrders[[#This Row],[ProductID]],Products!$A$2:$A$9,Products!$C$2:$C$9,"Unknown")</f>
        <v>Accessories</v>
      </c>
      <c r="L370">
        <f>_xlfn.XLOOKUP(tblOrders[[#This Row],[ProductID]],Products!$A$2:$A$9,Products!$D$2:$D$9,0)</f>
        <v>980</v>
      </c>
      <c r="M370">
        <f>tblOrders[[#This Row],[Quantity]]*tblOrders[[#This Row],[UnitPrice]]*(1-tblOrders[[#This Row],[Discount]])</f>
        <v>11400</v>
      </c>
      <c r="N370">
        <f>tblOrders[[#This Row],[Quantity]]*tblOrders[[#This Row],[UnitCost]]</f>
        <v>7840</v>
      </c>
      <c r="O370">
        <f>tblOrders[[#This Row],[Revenue]]-tblOrders[[#This Row],[Cost]]</f>
        <v>3560</v>
      </c>
      <c r="P370" t="str">
        <f>TEXT(tblOrders[[#This Row],[OrderDate]],"mmm")</f>
        <v>Jul</v>
      </c>
    </row>
    <row r="371" spans="1:16" x14ac:dyDescent="0.25">
      <c r="A371" t="s">
        <v>365</v>
      </c>
      <c r="B371" s="2">
        <v>45919</v>
      </c>
      <c r="C371" t="s">
        <v>48</v>
      </c>
      <c r="D371" t="s">
        <v>39</v>
      </c>
      <c r="E371" t="s">
        <v>40</v>
      </c>
      <c r="F371" t="s">
        <v>18</v>
      </c>
      <c r="G371">
        <v>9</v>
      </c>
      <c r="H371">
        <v>18000</v>
      </c>
      <c r="I371">
        <v>0.15</v>
      </c>
      <c r="J371" t="str">
        <f>_xlfn.XLOOKUP(tblOrders[[#This Row],[ProductID]],Products!$A$2:$A$9,Products!$B$2:$B$9,"Unknown")</f>
        <v>Tablet</v>
      </c>
      <c r="K371" t="str">
        <f>_xlfn.XLOOKUP(tblOrders[[#This Row],[ProductID]],Products!$A$2:$A$9,Products!$C$2:$C$9,"Unknown")</f>
        <v>Electronics</v>
      </c>
      <c r="L371">
        <f>_xlfn.XLOOKUP(tblOrders[[#This Row],[ProductID]],Products!$A$2:$A$9,Products!$D$2:$D$9,0)</f>
        <v>13500</v>
      </c>
      <c r="M371">
        <f>tblOrders[[#This Row],[Quantity]]*tblOrders[[#This Row],[UnitPrice]]*(1-tblOrders[[#This Row],[Discount]])</f>
        <v>137700</v>
      </c>
      <c r="N371">
        <f>tblOrders[[#This Row],[Quantity]]*tblOrders[[#This Row],[UnitCost]]</f>
        <v>121500</v>
      </c>
      <c r="O371">
        <f>tblOrders[[#This Row],[Revenue]]-tblOrders[[#This Row],[Cost]]</f>
        <v>16200</v>
      </c>
      <c r="P371" t="str">
        <f>TEXT(tblOrders[[#This Row],[OrderDate]],"mmm")</f>
        <v>Sep</v>
      </c>
    </row>
    <row r="372" spans="1:16" x14ac:dyDescent="0.25">
      <c r="A372" t="s">
        <v>325</v>
      </c>
      <c r="B372" s="2">
        <v>45957</v>
      </c>
      <c r="C372" t="s">
        <v>57</v>
      </c>
      <c r="D372" t="s">
        <v>16</v>
      </c>
      <c r="E372" t="s">
        <v>17</v>
      </c>
      <c r="F372" t="s">
        <v>55</v>
      </c>
      <c r="G372">
        <v>1</v>
      </c>
      <c r="H372">
        <v>8000</v>
      </c>
      <c r="I372">
        <v>0</v>
      </c>
      <c r="J372" t="str">
        <f>_xlfn.XLOOKUP(tblOrders[[#This Row],[ProductID]],Products!$A$2:$A$9,Products!$B$2:$B$9,"Unknown")</f>
        <v>Printer</v>
      </c>
      <c r="K372" t="str">
        <f>_xlfn.XLOOKUP(tblOrders[[#This Row],[ProductID]],Products!$A$2:$A$9,Products!$C$2:$C$9,"Unknown")</f>
        <v>Electronics</v>
      </c>
      <c r="L372">
        <f>_xlfn.XLOOKUP(tblOrders[[#This Row],[ProductID]],Products!$A$2:$A$9,Products!$D$2:$D$9,0)</f>
        <v>6200</v>
      </c>
      <c r="M372">
        <f>tblOrders[[#This Row],[Quantity]]*tblOrders[[#This Row],[UnitPrice]]*(1-tblOrders[[#This Row],[Discount]])</f>
        <v>8000</v>
      </c>
      <c r="N372">
        <f>tblOrders[[#This Row],[Quantity]]*tblOrders[[#This Row],[UnitCost]]</f>
        <v>6200</v>
      </c>
      <c r="O372">
        <f>tblOrders[[#This Row],[Revenue]]-tblOrders[[#This Row],[Cost]]</f>
        <v>1800</v>
      </c>
      <c r="P372" t="str">
        <f>TEXT(tblOrders[[#This Row],[OrderDate]],"mmm")</f>
        <v>Oct</v>
      </c>
    </row>
    <row r="373" spans="1:16" x14ac:dyDescent="0.25">
      <c r="A373" t="s">
        <v>545</v>
      </c>
      <c r="B373" s="2">
        <v>45991</v>
      </c>
      <c r="C373" t="s">
        <v>85</v>
      </c>
      <c r="D373" t="s">
        <v>16</v>
      </c>
      <c r="E373" t="s">
        <v>33</v>
      </c>
      <c r="F373" t="s">
        <v>13</v>
      </c>
      <c r="G373">
        <v>10</v>
      </c>
      <c r="H373">
        <v>2000</v>
      </c>
      <c r="I373">
        <v>0.1</v>
      </c>
      <c r="J373" t="str">
        <f>_xlfn.XLOOKUP(tblOrders[[#This Row],[ProductID]],Products!$A$2:$A$9,Products!$B$2:$B$9,"Unknown")</f>
        <v>Headset</v>
      </c>
      <c r="K373" t="str">
        <f>_xlfn.XLOOKUP(tblOrders[[#This Row],[ProductID]],Products!$A$2:$A$9,Products!$C$2:$C$9,"Unknown")</f>
        <v>Accessories</v>
      </c>
      <c r="L373">
        <f>_xlfn.XLOOKUP(tblOrders[[#This Row],[ProductID]],Products!$A$2:$A$9,Products!$D$2:$D$9,0)</f>
        <v>1300</v>
      </c>
      <c r="M373">
        <f>tblOrders[[#This Row],[Quantity]]*tblOrders[[#This Row],[UnitPrice]]*(1-tblOrders[[#This Row],[Discount]])</f>
        <v>18000</v>
      </c>
      <c r="N373">
        <f>tblOrders[[#This Row],[Quantity]]*tblOrders[[#This Row],[UnitCost]]</f>
        <v>13000</v>
      </c>
      <c r="O373">
        <f>tblOrders[[#This Row],[Revenue]]-tblOrders[[#This Row],[Cost]]</f>
        <v>5000</v>
      </c>
      <c r="P373" t="str">
        <f>TEXT(tblOrders[[#This Row],[OrderDate]],"mmm")</f>
        <v>Nov</v>
      </c>
    </row>
    <row r="374" spans="1:16" x14ac:dyDescent="0.25">
      <c r="A374" t="s">
        <v>989</v>
      </c>
      <c r="B374" s="2">
        <v>45889</v>
      </c>
      <c r="C374" t="s">
        <v>103</v>
      </c>
      <c r="D374" t="s">
        <v>39</v>
      </c>
      <c r="E374" t="s">
        <v>76</v>
      </c>
      <c r="F374" t="s">
        <v>64</v>
      </c>
      <c r="G374">
        <v>13</v>
      </c>
      <c r="H374">
        <v>500</v>
      </c>
      <c r="I374">
        <v>0.1</v>
      </c>
      <c r="J374" t="str">
        <f>_xlfn.XLOOKUP(tblOrders[[#This Row],[ProductID]],Products!$A$2:$A$9,Products!$B$2:$B$9,"Unknown")</f>
        <v>Mouse</v>
      </c>
      <c r="K374" t="str">
        <f>_xlfn.XLOOKUP(tblOrders[[#This Row],[ProductID]],Products!$A$2:$A$9,Products!$C$2:$C$9,"Unknown")</f>
        <v>Accessories</v>
      </c>
      <c r="L374">
        <f>_xlfn.XLOOKUP(tblOrders[[#This Row],[ProductID]],Products!$A$2:$A$9,Products!$D$2:$D$9,0)</f>
        <v>320</v>
      </c>
      <c r="M374">
        <f>tblOrders[[#This Row],[Quantity]]*tblOrders[[#This Row],[UnitPrice]]*(1-tblOrders[[#This Row],[Discount]])</f>
        <v>5850</v>
      </c>
      <c r="N374">
        <f>tblOrders[[#This Row],[Quantity]]*tblOrders[[#This Row],[UnitCost]]</f>
        <v>4160</v>
      </c>
      <c r="O374">
        <f>tblOrders[[#This Row],[Revenue]]-tblOrders[[#This Row],[Cost]]</f>
        <v>1690</v>
      </c>
      <c r="P374" t="str">
        <f>TEXT(tblOrders[[#This Row],[OrderDate]],"mmm")</f>
        <v>Aug</v>
      </c>
    </row>
    <row r="375" spans="1:16" x14ac:dyDescent="0.25">
      <c r="A375" t="s">
        <v>566</v>
      </c>
      <c r="B375" s="2">
        <v>46018</v>
      </c>
      <c r="C375" t="s">
        <v>50</v>
      </c>
      <c r="D375" t="s">
        <v>39</v>
      </c>
      <c r="E375" t="s">
        <v>40</v>
      </c>
      <c r="F375" t="s">
        <v>64</v>
      </c>
      <c r="G375">
        <v>2</v>
      </c>
      <c r="H375">
        <v>500</v>
      </c>
      <c r="I375">
        <v>0.15</v>
      </c>
      <c r="J375" t="str">
        <f>_xlfn.XLOOKUP(tblOrders[[#This Row],[ProductID]],Products!$A$2:$A$9,Products!$B$2:$B$9,"Unknown")</f>
        <v>Mouse</v>
      </c>
      <c r="K375" t="str">
        <f>_xlfn.XLOOKUP(tblOrders[[#This Row],[ProductID]],Products!$A$2:$A$9,Products!$C$2:$C$9,"Unknown")</f>
        <v>Accessories</v>
      </c>
      <c r="L375">
        <f>_xlfn.XLOOKUP(tblOrders[[#This Row],[ProductID]],Products!$A$2:$A$9,Products!$D$2:$D$9,0)</f>
        <v>320</v>
      </c>
      <c r="M375">
        <f>tblOrders[[#This Row],[Quantity]]*tblOrders[[#This Row],[UnitPrice]]*(1-tblOrders[[#This Row],[Discount]])</f>
        <v>850</v>
      </c>
      <c r="N375">
        <f>tblOrders[[#This Row],[Quantity]]*tblOrders[[#This Row],[UnitCost]]</f>
        <v>640</v>
      </c>
      <c r="O375">
        <f>tblOrders[[#This Row],[Revenue]]-tblOrders[[#This Row],[Cost]]</f>
        <v>210</v>
      </c>
      <c r="P375" t="str">
        <f>TEXT(tblOrders[[#This Row],[OrderDate]],"mmm")</f>
        <v>Dec</v>
      </c>
    </row>
    <row r="376" spans="1:16" x14ac:dyDescent="0.25">
      <c r="A376" t="s">
        <v>191</v>
      </c>
      <c r="B376" s="2">
        <v>45981</v>
      </c>
      <c r="C376" t="s">
        <v>71</v>
      </c>
      <c r="D376" t="s">
        <v>16</v>
      </c>
      <c r="E376" t="s">
        <v>17</v>
      </c>
      <c r="F376" t="s">
        <v>64</v>
      </c>
      <c r="G376">
        <v>12</v>
      </c>
      <c r="H376">
        <v>500</v>
      </c>
      <c r="I376">
        <v>0.05</v>
      </c>
      <c r="J376" t="str">
        <f>_xlfn.XLOOKUP(tblOrders[[#This Row],[ProductID]],Products!$A$2:$A$9,Products!$B$2:$B$9,"Unknown")</f>
        <v>Mouse</v>
      </c>
      <c r="K376" t="str">
        <f>_xlfn.XLOOKUP(tblOrders[[#This Row],[ProductID]],Products!$A$2:$A$9,Products!$C$2:$C$9,"Unknown")</f>
        <v>Accessories</v>
      </c>
      <c r="L376">
        <f>_xlfn.XLOOKUP(tblOrders[[#This Row],[ProductID]],Products!$A$2:$A$9,Products!$D$2:$D$9,0)</f>
        <v>320</v>
      </c>
      <c r="M376">
        <f>tblOrders[[#This Row],[Quantity]]*tblOrders[[#This Row],[UnitPrice]]*(1-tblOrders[[#This Row],[Discount]])</f>
        <v>5700</v>
      </c>
      <c r="N376">
        <f>tblOrders[[#This Row],[Quantity]]*tblOrders[[#This Row],[UnitCost]]</f>
        <v>3840</v>
      </c>
      <c r="O376">
        <f>tblOrders[[#This Row],[Revenue]]-tblOrders[[#This Row],[Cost]]</f>
        <v>1860</v>
      </c>
      <c r="P376" t="str">
        <f>TEXT(tblOrders[[#This Row],[OrderDate]],"mmm")</f>
        <v>Nov</v>
      </c>
    </row>
    <row r="377" spans="1:16" x14ac:dyDescent="0.25">
      <c r="A377" t="s">
        <v>402</v>
      </c>
      <c r="B377" s="2">
        <v>45789</v>
      </c>
      <c r="C377" t="s">
        <v>1102</v>
      </c>
      <c r="D377" t="s">
        <v>21</v>
      </c>
      <c r="E377" t="s">
        <v>22</v>
      </c>
      <c r="F377" t="s">
        <v>23</v>
      </c>
      <c r="G377">
        <v>7</v>
      </c>
      <c r="H377">
        <v>900</v>
      </c>
      <c r="I377">
        <v>0</v>
      </c>
      <c r="J377" t="str">
        <f>_xlfn.XLOOKUP(tblOrders[[#This Row],[ProductID]],Products!$A$2:$A$9,Products!$B$2:$B$9,"Unknown")</f>
        <v>Keyboard</v>
      </c>
      <c r="K377" t="str">
        <f>_xlfn.XLOOKUP(tblOrders[[#This Row],[ProductID]],Products!$A$2:$A$9,Products!$C$2:$C$9,"Unknown")</f>
        <v>Accessories</v>
      </c>
      <c r="L377">
        <f>_xlfn.XLOOKUP(tblOrders[[#This Row],[ProductID]],Products!$A$2:$A$9,Products!$D$2:$D$9,0)</f>
        <v>600</v>
      </c>
      <c r="M377">
        <f>tblOrders[[#This Row],[Quantity]]*tblOrders[[#This Row],[UnitPrice]]*(1-tblOrders[[#This Row],[Discount]])</f>
        <v>6300</v>
      </c>
      <c r="N377">
        <f>tblOrders[[#This Row],[Quantity]]*tblOrders[[#This Row],[UnitCost]]</f>
        <v>4200</v>
      </c>
      <c r="O377">
        <f>tblOrders[[#This Row],[Revenue]]-tblOrders[[#This Row],[Cost]]</f>
        <v>2100</v>
      </c>
      <c r="P377" t="str">
        <f>TEXT(tblOrders[[#This Row],[OrderDate]],"mmm")</f>
        <v>May</v>
      </c>
    </row>
    <row r="378" spans="1:16" x14ac:dyDescent="0.25">
      <c r="A378" t="s">
        <v>331</v>
      </c>
      <c r="B378" s="2">
        <v>45879</v>
      </c>
      <c r="C378" t="s">
        <v>90</v>
      </c>
      <c r="D378" t="s">
        <v>21</v>
      </c>
      <c r="E378" t="s">
        <v>28</v>
      </c>
      <c r="F378" t="s">
        <v>69</v>
      </c>
      <c r="G378">
        <v>7</v>
      </c>
      <c r="H378">
        <v>12000</v>
      </c>
      <c r="I378">
        <v>0.1</v>
      </c>
      <c r="J378" t="str">
        <f>_xlfn.XLOOKUP(tblOrders[[#This Row],[ProductID]],Products!$A$2:$A$9,Products!$B$2:$B$9,"Unknown")</f>
        <v>Monitor</v>
      </c>
      <c r="K378" t="str">
        <f>_xlfn.XLOOKUP(tblOrders[[#This Row],[ProductID]],Products!$A$2:$A$9,Products!$C$2:$C$9,"Unknown")</f>
        <v>Electronics</v>
      </c>
      <c r="L378">
        <f>_xlfn.XLOOKUP(tblOrders[[#This Row],[ProductID]],Products!$A$2:$A$9,Products!$D$2:$D$9,0)</f>
        <v>9000</v>
      </c>
      <c r="M378">
        <f>tblOrders[[#This Row],[Quantity]]*tblOrders[[#This Row],[UnitPrice]]*(1-tblOrders[[#This Row],[Discount]])</f>
        <v>75600</v>
      </c>
      <c r="N378">
        <f>tblOrders[[#This Row],[Quantity]]*tblOrders[[#This Row],[UnitCost]]</f>
        <v>63000</v>
      </c>
      <c r="O378">
        <f>tblOrders[[#This Row],[Revenue]]-tblOrders[[#This Row],[Cost]]</f>
        <v>12600</v>
      </c>
      <c r="P378" t="str">
        <f>TEXT(tblOrders[[#This Row],[OrderDate]],"mmm")</f>
        <v>Aug</v>
      </c>
    </row>
    <row r="379" spans="1:16" x14ac:dyDescent="0.25">
      <c r="A379" t="s">
        <v>931</v>
      </c>
      <c r="B379" s="2">
        <v>45907</v>
      </c>
      <c r="C379" t="s">
        <v>245</v>
      </c>
      <c r="D379" t="s">
        <v>21</v>
      </c>
      <c r="E379" t="s">
        <v>28</v>
      </c>
      <c r="F379" t="s">
        <v>55</v>
      </c>
      <c r="G379">
        <v>3</v>
      </c>
      <c r="H379">
        <v>8000</v>
      </c>
      <c r="I379">
        <v>0.1</v>
      </c>
      <c r="J379" t="str">
        <f>_xlfn.XLOOKUP(tblOrders[[#This Row],[ProductID]],Products!$A$2:$A$9,Products!$B$2:$B$9,"Unknown")</f>
        <v>Printer</v>
      </c>
      <c r="K379" t="str">
        <f>_xlfn.XLOOKUP(tblOrders[[#This Row],[ProductID]],Products!$A$2:$A$9,Products!$C$2:$C$9,"Unknown")</f>
        <v>Electronics</v>
      </c>
      <c r="L379">
        <f>_xlfn.XLOOKUP(tblOrders[[#This Row],[ProductID]],Products!$A$2:$A$9,Products!$D$2:$D$9,0)</f>
        <v>6200</v>
      </c>
      <c r="M379">
        <f>tblOrders[[#This Row],[Quantity]]*tblOrders[[#This Row],[UnitPrice]]*(1-tblOrders[[#This Row],[Discount]])</f>
        <v>21600</v>
      </c>
      <c r="N379">
        <f>tblOrders[[#This Row],[Quantity]]*tblOrders[[#This Row],[UnitCost]]</f>
        <v>18600</v>
      </c>
      <c r="O379">
        <f>tblOrders[[#This Row],[Revenue]]-tblOrders[[#This Row],[Cost]]</f>
        <v>3000</v>
      </c>
      <c r="P379" t="str">
        <f>TEXT(tblOrders[[#This Row],[OrderDate]],"mmm")</f>
        <v>Sep</v>
      </c>
    </row>
    <row r="380" spans="1:16" x14ac:dyDescent="0.25">
      <c r="A380" t="s">
        <v>70</v>
      </c>
      <c r="B380" s="2">
        <v>45914</v>
      </c>
      <c r="C380" t="s">
        <v>71</v>
      </c>
      <c r="D380" t="s">
        <v>11</v>
      </c>
      <c r="E380" t="s">
        <v>12</v>
      </c>
      <c r="F380" t="s">
        <v>34</v>
      </c>
      <c r="G380">
        <v>12</v>
      </c>
      <c r="H380">
        <v>55000</v>
      </c>
      <c r="I380">
        <v>0</v>
      </c>
      <c r="J380" t="str">
        <f>_xlfn.XLOOKUP(tblOrders[[#This Row],[ProductID]],Products!$A$2:$A$9,Products!$B$2:$B$9,"Unknown")</f>
        <v>Laptop</v>
      </c>
      <c r="K380" t="str">
        <f>_xlfn.XLOOKUP(tblOrders[[#This Row],[ProductID]],Products!$A$2:$A$9,Products!$C$2:$C$9,"Unknown")</f>
        <v>Electronics</v>
      </c>
      <c r="L380">
        <f>_xlfn.XLOOKUP(tblOrders[[#This Row],[ProductID]],Products!$A$2:$A$9,Products!$D$2:$D$9,0)</f>
        <v>41000</v>
      </c>
      <c r="M380">
        <f>tblOrders[[#This Row],[Quantity]]*tblOrders[[#This Row],[UnitPrice]]*(1-tblOrders[[#This Row],[Discount]])</f>
        <v>660000</v>
      </c>
      <c r="N380">
        <f>tblOrders[[#This Row],[Quantity]]*tblOrders[[#This Row],[UnitCost]]</f>
        <v>492000</v>
      </c>
      <c r="O380">
        <f>tblOrders[[#This Row],[Revenue]]-tblOrders[[#This Row],[Cost]]</f>
        <v>168000</v>
      </c>
      <c r="P380" t="str">
        <f>TEXT(tblOrders[[#This Row],[OrderDate]],"mmm")</f>
        <v>Sep</v>
      </c>
    </row>
    <row r="381" spans="1:16" x14ac:dyDescent="0.25">
      <c r="A381" t="s">
        <v>668</v>
      </c>
      <c r="B381" s="2">
        <v>45940</v>
      </c>
      <c r="C381" t="s">
        <v>59</v>
      </c>
      <c r="D381" t="s">
        <v>39</v>
      </c>
      <c r="E381" t="s">
        <v>76</v>
      </c>
      <c r="F381" t="s">
        <v>64</v>
      </c>
      <c r="G381">
        <v>8</v>
      </c>
      <c r="H381">
        <v>500</v>
      </c>
      <c r="I381">
        <v>0</v>
      </c>
      <c r="J381" t="str">
        <f>_xlfn.XLOOKUP(tblOrders[[#This Row],[ProductID]],Products!$A$2:$A$9,Products!$B$2:$B$9,"Unknown")</f>
        <v>Mouse</v>
      </c>
      <c r="K381" t="str">
        <f>_xlfn.XLOOKUP(tblOrders[[#This Row],[ProductID]],Products!$A$2:$A$9,Products!$C$2:$C$9,"Unknown")</f>
        <v>Accessories</v>
      </c>
      <c r="L381">
        <f>_xlfn.XLOOKUP(tblOrders[[#This Row],[ProductID]],Products!$A$2:$A$9,Products!$D$2:$D$9,0)</f>
        <v>320</v>
      </c>
      <c r="M381">
        <f>tblOrders[[#This Row],[Quantity]]*tblOrders[[#This Row],[UnitPrice]]*(1-tblOrders[[#This Row],[Discount]])</f>
        <v>4000</v>
      </c>
      <c r="N381">
        <f>tblOrders[[#This Row],[Quantity]]*tblOrders[[#This Row],[UnitCost]]</f>
        <v>2560</v>
      </c>
      <c r="O381">
        <f>tblOrders[[#This Row],[Revenue]]-tblOrders[[#This Row],[Cost]]</f>
        <v>1440</v>
      </c>
      <c r="P381" t="str">
        <f>TEXT(tblOrders[[#This Row],[OrderDate]],"mmm")</f>
        <v>Oct</v>
      </c>
    </row>
    <row r="382" spans="1:16" x14ac:dyDescent="0.25">
      <c r="A382" t="s">
        <v>703</v>
      </c>
      <c r="B382" s="2">
        <v>45812</v>
      </c>
      <c r="C382" t="s">
        <v>97</v>
      </c>
      <c r="D382" t="s">
        <v>21</v>
      </c>
      <c r="E382" t="s">
        <v>22</v>
      </c>
      <c r="F382" t="s">
        <v>55</v>
      </c>
      <c r="G382">
        <v>13</v>
      </c>
      <c r="H382">
        <v>8000</v>
      </c>
      <c r="I382">
        <v>0</v>
      </c>
      <c r="J382" t="str">
        <f>_xlfn.XLOOKUP(tblOrders[[#This Row],[ProductID]],Products!$A$2:$A$9,Products!$B$2:$B$9,"Unknown")</f>
        <v>Printer</v>
      </c>
      <c r="K382" t="str">
        <f>_xlfn.XLOOKUP(tblOrders[[#This Row],[ProductID]],Products!$A$2:$A$9,Products!$C$2:$C$9,"Unknown")</f>
        <v>Electronics</v>
      </c>
      <c r="L382">
        <f>_xlfn.XLOOKUP(tblOrders[[#This Row],[ProductID]],Products!$A$2:$A$9,Products!$D$2:$D$9,0)</f>
        <v>6200</v>
      </c>
      <c r="M382">
        <f>tblOrders[[#This Row],[Quantity]]*tblOrders[[#This Row],[UnitPrice]]*(1-tblOrders[[#This Row],[Discount]])</f>
        <v>104000</v>
      </c>
      <c r="N382">
        <f>tblOrders[[#This Row],[Quantity]]*tblOrders[[#This Row],[UnitCost]]</f>
        <v>80600</v>
      </c>
      <c r="O382">
        <f>tblOrders[[#This Row],[Revenue]]-tblOrders[[#This Row],[Cost]]</f>
        <v>23400</v>
      </c>
      <c r="P382" t="str">
        <f>TEXT(tblOrders[[#This Row],[OrderDate]],"mmm")</f>
        <v>Jun</v>
      </c>
    </row>
    <row r="383" spans="1:16" x14ac:dyDescent="0.25">
      <c r="A383" t="s">
        <v>1054</v>
      </c>
      <c r="B383" s="2">
        <v>45931</v>
      </c>
      <c r="C383" t="s">
        <v>82</v>
      </c>
      <c r="D383" t="s">
        <v>16</v>
      </c>
      <c r="E383" t="s">
        <v>17</v>
      </c>
      <c r="F383" t="s">
        <v>18</v>
      </c>
      <c r="G383">
        <v>3</v>
      </c>
      <c r="H383">
        <v>18000</v>
      </c>
      <c r="I383">
        <v>0</v>
      </c>
      <c r="J383" t="str">
        <f>_xlfn.XLOOKUP(tblOrders[[#This Row],[ProductID]],Products!$A$2:$A$9,Products!$B$2:$B$9,"Unknown")</f>
        <v>Tablet</v>
      </c>
      <c r="K383" t="str">
        <f>_xlfn.XLOOKUP(tblOrders[[#This Row],[ProductID]],Products!$A$2:$A$9,Products!$C$2:$C$9,"Unknown")</f>
        <v>Electronics</v>
      </c>
      <c r="L383">
        <f>_xlfn.XLOOKUP(tblOrders[[#This Row],[ProductID]],Products!$A$2:$A$9,Products!$D$2:$D$9,0)</f>
        <v>13500</v>
      </c>
      <c r="M383">
        <f>tblOrders[[#This Row],[Quantity]]*tblOrders[[#This Row],[UnitPrice]]*(1-tblOrders[[#This Row],[Discount]])</f>
        <v>54000</v>
      </c>
      <c r="N383">
        <f>tblOrders[[#This Row],[Quantity]]*tblOrders[[#This Row],[UnitCost]]</f>
        <v>40500</v>
      </c>
      <c r="O383">
        <f>tblOrders[[#This Row],[Revenue]]-tblOrders[[#This Row],[Cost]]</f>
        <v>13500</v>
      </c>
      <c r="P383" t="str">
        <f>TEXT(tblOrders[[#This Row],[OrderDate]],"mmm")</f>
        <v>Oct</v>
      </c>
    </row>
    <row r="384" spans="1:16" x14ac:dyDescent="0.25">
      <c r="A384" t="s">
        <v>620</v>
      </c>
      <c r="B384" s="2">
        <v>45846</v>
      </c>
      <c r="C384" t="s">
        <v>63</v>
      </c>
      <c r="D384" t="s">
        <v>16</v>
      </c>
      <c r="E384" t="s">
        <v>33</v>
      </c>
      <c r="F384" t="s">
        <v>64</v>
      </c>
      <c r="G384">
        <v>2</v>
      </c>
      <c r="H384">
        <v>500</v>
      </c>
      <c r="I384">
        <v>0.15</v>
      </c>
      <c r="J384" t="str">
        <f>_xlfn.XLOOKUP(tblOrders[[#This Row],[ProductID]],Products!$A$2:$A$9,Products!$B$2:$B$9,"Unknown")</f>
        <v>Mouse</v>
      </c>
      <c r="K384" t="str">
        <f>_xlfn.XLOOKUP(tblOrders[[#This Row],[ProductID]],Products!$A$2:$A$9,Products!$C$2:$C$9,"Unknown")</f>
        <v>Accessories</v>
      </c>
      <c r="L384">
        <f>_xlfn.XLOOKUP(tblOrders[[#This Row],[ProductID]],Products!$A$2:$A$9,Products!$D$2:$D$9,0)</f>
        <v>320</v>
      </c>
      <c r="M384">
        <f>tblOrders[[#This Row],[Quantity]]*tblOrders[[#This Row],[UnitPrice]]*(1-tblOrders[[#This Row],[Discount]])</f>
        <v>850</v>
      </c>
      <c r="N384">
        <f>tblOrders[[#This Row],[Quantity]]*tblOrders[[#This Row],[UnitCost]]</f>
        <v>640</v>
      </c>
      <c r="O384">
        <f>tblOrders[[#This Row],[Revenue]]-tblOrders[[#This Row],[Cost]]</f>
        <v>210</v>
      </c>
      <c r="P384" t="str">
        <f>TEXT(tblOrders[[#This Row],[OrderDate]],"mmm")</f>
        <v>Jul</v>
      </c>
    </row>
    <row r="385" spans="1:16" x14ac:dyDescent="0.25">
      <c r="A385" t="s">
        <v>926</v>
      </c>
      <c r="B385" s="2">
        <v>45969</v>
      </c>
      <c r="C385" t="s">
        <v>61</v>
      </c>
      <c r="D385" t="s">
        <v>16</v>
      </c>
      <c r="E385" t="s">
        <v>17</v>
      </c>
      <c r="F385" t="s">
        <v>18</v>
      </c>
      <c r="G385">
        <v>4</v>
      </c>
      <c r="H385">
        <v>18000</v>
      </c>
      <c r="I385">
        <v>0</v>
      </c>
      <c r="J385" t="str">
        <f>_xlfn.XLOOKUP(tblOrders[[#This Row],[ProductID]],Products!$A$2:$A$9,Products!$B$2:$B$9,"Unknown")</f>
        <v>Tablet</v>
      </c>
      <c r="K385" t="str">
        <f>_xlfn.XLOOKUP(tblOrders[[#This Row],[ProductID]],Products!$A$2:$A$9,Products!$C$2:$C$9,"Unknown")</f>
        <v>Electronics</v>
      </c>
      <c r="L385">
        <f>_xlfn.XLOOKUP(tblOrders[[#This Row],[ProductID]],Products!$A$2:$A$9,Products!$D$2:$D$9,0)</f>
        <v>13500</v>
      </c>
      <c r="M385">
        <f>tblOrders[[#This Row],[Quantity]]*tblOrders[[#This Row],[UnitPrice]]*(1-tblOrders[[#This Row],[Discount]])</f>
        <v>72000</v>
      </c>
      <c r="N385">
        <f>tblOrders[[#This Row],[Quantity]]*tblOrders[[#This Row],[UnitCost]]</f>
        <v>54000</v>
      </c>
      <c r="O385">
        <f>tblOrders[[#This Row],[Revenue]]-tblOrders[[#This Row],[Cost]]</f>
        <v>18000</v>
      </c>
      <c r="P385" t="str">
        <f>TEXT(tblOrders[[#This Row],[OrderDate]],"mmm")</f>
        <v>Nov</v>
      </c>
    </row>
    <row r="386" spans="1:16" x14ac:dyDescent="0.25">
      <c r="A386" t="s">
        <v>980</v>
      </c>
      <c r="B386" s="2">
        <v>45933</v>
      </c>
      <c r="C386" t="s">
        <v>36</v>
      </c>
      <c r="D386" t="s">
        <v>16</v>
      </c>
      <c r="E386" t="s">
        <v>17</v>
      </c>
      <c r="F386" t="s">
        <v>23</v>
      </c>
      <c r="G386">
        <v>5</v>
      </c>
      <c r="H386">
        <v>900</v>
      </c>
      <c r="I386">
        <v>0</v>
      </c>
      <c r="J386" t="str">
        <f>_xlfn.XLOOKUP(tblOrders[[#This Row],[ProductID]],Products!$A$2:$A$9,Products!$B$2:$B$9,"Unknown")</f>
        <v>Keyboard</v>
      </c>
      <c r="K386" t="str">
        <f>_xlfn.XLOOKUP(tblOrders[[#This Row],[ProductID]],Products!$A$2:$A$9,Products!$C$2:$C$9,"Unknown")</f>
        <v>Accessories</v>
      </c>
      <c r="L386">
        <f>_xlfn.XLOOKUP(tblOrders[[#This Row],[ProductID]],Products!$A$2:$A$9,Products!$D$2:$D$9,0)</f>
        <v>600</v>
      </c>
      <c r="M386">
        <f>tblOrders[[#This Row],[Quantity]]*tblOrders[[#This Row],[UnitPrice]]*(1-tblOrders[[#This Row],[Discount]])</f>
        <v>4500</v>
      </c>
      <c r="N386">
        <f>tblOrders[[#This Row],[Quantity]]*tblOrders[[#This Row],[UnitCost]]</f>
        <v>3000</v>
      </c>
      <c r="O386">
        <f>tblOrders[[#This Row],[Revenue]]-tblOrders[[#This Row],[Cost]]</f>
        <v>1500</v>
      </c>
      <c r="P386" t="str">
        <f>TEXT(tblOrders[[#This Row],[OrderDate]],"mmm")</f>
        <v>Oct</v>
      </c>
    </row>
    <row r="387" spans="1:16" x14ac:dyDescent="0.25">
      <c r="A387" t="s">
        <v>958</v>
      </c>
      <c r="B387" s="2">
        <v>45792</v>
      </c>
      <c r="C387" t="s">
        <v>32</v>
      </c>
      <c r="D387" t="s">
        <v>39</v>
      </c>
      <c r="E387" t="s">
        <v>76</v>
      </c>
      <c r="F387" t="s">
        <v>18</v>
      </c>
      <c r="G387">
        <v>5</v>
      </c>
      <c r="H387">
        <v>18000</v>
      </c>
      <c r="I387">
        <v>0</v>
      </c>
      <c r="J387" t="str">
        <f>_xlfn.XLOOKUP(tblOrders[[#This Row],[ProductID]],Products!$A$2:$A$9,Products!$B$2:$B$9,"Unknown")</f>
        <v>Tablet</v>
      </c>
      <c r="K387" t="str">
        <f>_xlfn.XLOOKUP(tblOrders[[#This Row],[ProductID]],Products!$A$2:$A$9,Products!$C$2:$C$9,"Unknown")</f>
        <v>Electronics</v>
      </c>
      <c r="L387">
        <f>_xlfn.XLOOKUP(tblOrders[[#This Row],[ProductID]],Products!$A$2:$A$9,Products!$D$2:$D$9,0)</f>
        <v>13500</v>
      </c>
      <c r="M387">
        <f>tblOrders[[#This Row],[Quantity]]*tblOrders[[#This Row],[UnitPrice]]*(1-tblOrders[[#This Row],[Discount]])</f>
        <v>90000</v>
      </c>
      <c r="N387">
        <f>tblOrders[[#This Row],[Quantity]]*tblOrders[[#This Row],[UnitCost]]</f>
        <v>67500</v>
      </c>
      <c r="O387">
        <f>tblOrders[[#This Row],[Revenue]]-tblOrders[[#This Row],[Cost]]</f>
        <v>22500</v>
      </c>
      <c r="P387" t="str">
        <f>TEXT(tblOrders[[#This Row],[OrderDate]],"mmm")</f>
        <v>May</v>
      </c>
    </row>
    <row r="388" spans="1:16" x14ac:dyDescent="0.25">
      <c r="A388" t="s">
        <v>895</v>
      </c>
      <c r="B388" s="2">
        <v>45918</v>
      </c>
      <c r="C388" t="s">
        <v>48</v>
      </c>
      <c r="D388" t="s">
        <v>11</v>
      </c>
      <c r="E388" t="s">
        <v>12</v>
      </c>
      <c r="F388" t="s">
        <v>13</v>
      </c>
      <c r="G388">
        <v>3</v>
      </c>
      <c r="H388">
        <v>2000</v>
      </c>
      <c r="I388">
        <v>0.1</v>
      </c>
      <c r="J388" t="str">
        <f>_xlfn.XLOOKUP(tblOrders[[#This Row],[ProductID]],Products!$A$2:$A$9,Products!$B$2:$B$9,"Unknown")</f>
        <v>Headset</v>
      </c>
      <c r="K388" t="str">
        <f>_xlfn.XLOOKUP(tblOrders[[#This Row],[ProductID]],Products!$A$2:$A$9,Products!$C$2:$C$9,"Unknown")</f>
        <v>Accessories</v>
      </c>
      <c r="L388">
        <f>_xlfn.XLOOKUP(tblOrders[[#This Row],[ProductID]],Products!$A$2:$A$9,Products!$D$2:$D$9,0)</f>
        <v>1300</v>
      </c>
      <c r="M388">
        <f>tblOrders[[#This Row],[Quantity]]*tblOrders[[#This Row],[UnitPrice]]*(1-tblOrders[[#This Row],[Discount]])</f>
        <v>5400</v>
      </c>
      <c r="N388">
        <f>tblOrders[[#This Row],[Quantity]]*tblOrders[[#This Row],[UnitCost]]</f>
        <v>3900</v>
      </c>
      <c r="O388">
        <f>tblOrders[[#This Row],[Revenue]]-tblOrders[[#This Row],[Cost]]</f>
        <v>1500</v>
      </c>
      <c r="P388" t="str">
        <f>TEXT(tblOrders[[#This Row],[OrderDate]],"mmm")</f>
        <v>Sep</v>
      </c>
    </row>
    <row r="389" spans="1:16" x14ac:dyDescent="0.25">
      <c r="A389" t="s">
        <v>757</v>
      </c>
      <c r="B389" s="2">
        <v>45970</v>
      </c>
      <c r="C389" t="s">
        <v>115</v>
      </c>
      <c r="D389" t="s">
        <v>21</v>
      </c>
      <c r="E389" t="s">
        <v>28</v>
      </c>
      <c r="F389" t="s">
        <v>69</v>
      </c>
      <c r="G389">
        <v>9</v>
      </c>
      <c r="H389">
        <v>12000</v>
      </c>
      <c r="I389">
        <v>0.15</v>
      </c>
      <c r="J389" t="str">
        <f>_xlfn.XLOOKUP(tblOrders[[#This Row],[ProductID]],Products!$A$2:$A$9,Products!$B$2:$B$9,"Unknown")</f>
        <v>Monitor</v>
      </c>
      <c r="K389" t="str">
        <f>_xlfn.XLOOKUP(tblOrders[[#This Row],[ProductID]],Products!$A$2:$A$9,Products!$C$2:$C$9,"Unknown")</f>
        <v>Electronics</v>
      </c>
      <c r="L389">
        <f>_xlfn.XLOOKUP(tblOrders[[#This Row],[ProductID]],Products!$A$2:$A$9,Products!$D$2:$D$9,0)</f>
        <v>9000</v>
      </c>
      <c r="M389">
        <f>tblOrders[[#This Row],[Quantity]]*tblOrders[[#This Row],[UnitPrice]]*(1-tblOrders[[#This Row],[Discount]])</f>
        <v>91800</v>
      </c>
      <c r="N389">
        <f>tblOrders[[#This Row],[Quantity]]*tblOrders[[#This Row],[UnitCost]]</f>
        <v>81000</v>
      </c>
      <c r="O389">
        <f>tblOrders[[#This Row],[Revenue]]-tblOrders[[#This Row],[Cost]]</f>
        <v>10800</v>
      </c>
      <c r="P389" t="str">
        <f>TEXT(tblOrders[[#This Row],[OrderDate]],"mmm")</f>
        <v>Nov</v>
      </c>
    </row>
    <row r="390" spans="1:16" x14ac:dyDescent="0.25">
      <c r="A390" t="s">
        <v>560</v>
      </c>
      <c r="B390" s="2">
        <v>45814</v>
      </c>
      <c r="C390" t="s">
        <v>52</v>
      </c>
      <c r="D390" t="s">
        <v>21</v>
      </c>
      <c r="E390" t="s">
        <v>22</v>
      </c>
      <c r="F390" t="s">
        <v>13</v>
      </c>
      <c r="G390">
        <v>15</v>
      </c>
      <c r="H390">
        <v>2000</v>
      </c>
      <c r="I390">
        <v>0</v>
      </c>
      <c r="J390" t="str">
        <f>_xlfn.XLOOKUP(tblOrders[[#This Row],[ProductID]],Products!$A$2:$A$9,Products!$B$2:$B$9,"Unknown")</f>
        <v>Headset</v>
      </c>
      <c r="K390" t="str">
        <f>_xlfn.XLOOKUP(tblOrders[[#This Row],[ProductID]],Products!$A$2:$A$9,Products!$C$2:$C$9,"Unknown")</f>
        <v>Accessories</v>
      </c>
      <c r="L390">
        <f>_xlfn.XLOOKUP(tblOrders[[#This Row],[ProductID]],Products!$A$2:$A$9,Products!$D$2:$D$9,0)</f>
        <v>1300</v>
      </c>
      <c r="M390">
        <f>tblOrders[[#This Row],[Quantity]]*tblOrders[[#This Row],[UnitPrice]]*(1-tblOrders[[#This Row],[Discount]])</f>
        <v>30000</v>
      </c>
      <c r="N390">
        <f>tblOrders[[#This Row],[Quantity]]*tblOrders[[#This Row],[UnitCost]]</f>
        <v>19500</v>
      </c>
      <c r="O390">
        <f>tblOrders[[#This Row],[Revenue]]-tblOrders[[#This Row],[Cost]]</f>
        <v>10500</v>
      </c>
      <c r="P390" t="str">
        <f>TEXT(tblOrders[[#This Row],[OrderDate]],"mmm")</f>
        <v>Jun</v>
      </c>
    </row>
    <row r="391" spans="1:16" x14ac:dyDescent="0.25">
      <c r="A391" t="s">
        <v>96</v>
      </c>
      <c r="B391" s="2">
        <v>45904</v>
      </c>
      <c r="C391" t="s">
        <v>97</v>
      </c>
      <c r="D391" t="s">
        <v>39</v>
      </c>
      <c r="E391" t="s">
        <v>76</v>
      </c>
      <c r="F391" t="s">
        <v>64</v>
      </c>
      <c r="G391">
        <v>6</v>
      </c>
      <c r="H391">
        <v>500</v>
      </c>
      <c r="I391">
        <v>0.15</v>
      </c>
      <c r="J391" t="str">
        <f>_xlfn.XLOOKUP(tblOrders[[#This Row],[ProductID]],Products!$A$2:$A$9,Products!$B$2:$B$9,"Unknown")</f>
        <v>Mouse</v>
      </c>
      <c r="K391" t="str">
        <f>_xlfn.XLOOKUP(tblOrders[[#This Row],[ProductID]],Products!$A$2:$A$9,Products!$C$2:$C$9,"Unknown")</f>
        <v>Accessories</v>
      </c>
      <c r="L391">
        <f>_xlfn.XLOOKUP(tblOrders[[#This Row],[ProductID]],Products!$A$2:$A$9,Products!$D$2:$D$9,0)</f>
        <v>320</v>
      </c>
      <c r="M391">
        <f>tblOrders[[#This Row],[Quantity]]*tblOrders[[#This Row],[UnitPrice]]*(1-tblOrders[[#This Row],[Discount]])</f>
        <v>2550</v>
      </c>
      <c r="N391">
        <f>tblOrders[[#This Row],[Quantity]]*tblOrders[[#This Row],[UnitCost]]</f>
        <v>1920</v>
      </c>
      <c r="O391">
        <f>tblOrders[[#This Row],[Revenue]]-tblOrders[[#This Row],[Cost]]</f>
        <v>630</v>
      </c>
      <c r="P391" t="str">
        <f>TEXT(tblOrders[[#This Row],[OrderDate]],"mmm")</f>
        <v>Sep</v>
      </c>
    </row>
    <row r="392" spans="1:16" x14ac:dyDescent="0.25">
      <c r="A392" t="s">
        <v>529</v>
      </c>
      <c r="B392" s="2">
        <v>45947</v>
      </c>
      <c r="C392" t="s">
        <v>261</v>
      </c>
      <c r="D392" t="s">
        <v>16</v>
      </c>
      <c r="E392" t="s">
        <v>17</v>
      </c>
      <c r="F392" t="s">
        <v>55</v>
      </c>
      <c r="G392">
        <v>2</v>
      </c>
      <c r="H392">
        <v>8000</v>
      </c>
      <c r="I392">
        <v>0.1</v>
      </c>
      <c r="J392" t="str">
        <f>_xlfn.XLOOKUP(tblOrders[[#This Row],[ProductID]],Products!$A$2:$A$9,Products!$B$2:$B$9,"Unknown")</f>
        <v>Printer</v>
      </c>
      <c r="K392" t="str">
        <f>_xlfn.XLOOKUP(tblOrders[[#This Row],[ProductID]],Products!$A$2:$A$9,Products!$C$2:$C$9,"Unknown")</f>
        <v>Electronics</v>
      </c>
      <c r="L392">
        <f>_xlfn.XLOOKUP(tblOrders[[#This Row],[ProductID]],Products!$A$2:$A$9,Products!$D$2:$D$9,0)</f>
        <v>6200</v>
      </c>
      <c r="M392">
        <f>tblOrders[[#This Row],[Quantity]]*tblOrders[[#This Row],[UnitPrice]]*(1-tblOrders[[#This Row],[Discount]])</f>
        <v>14400</v>
      </c>
      <c r="N392">
        <f>tblOrders[[#This Row],[Quantity]]*tblOrders[[#This Row],[UnitCost]]</f>
        <v>12400</v>
      </c>
      <c r="O392">
        <f>tblOrders[[#This Row],[Revenue]]-tblOrders[[#This Row],[Cost]]</f>
        <v>2000</v>
      </c>
      <c r="P392" t="str">
        <f>TEXT(tblOrders[[#This Row],[OrderDate]],"mmm")</f>
        <v>Oct</v>
      </c>
    </row>
    <row r="393" spans="1:16" x14ac:dyDescent="0.25">
      <c r="A393" t="s">
        <v>260</v>
      </c>
      <c r="B393" s="2">
        <v>45812</v>
      </c>
      <c r="C393" t="s">
        <v>261</v>
      </c>
      <c r="D393" t="s">
        <v>21</v>
      </c>
      <c r="E393" t="s">
        <v>22</v>
      </c>
      <c r="F393" t="s">
        <v>18</v>
      </c>
      <c r="G393">
        <v>15</v>
      </c>
      <c r="H393">
        <v>18000</v>
      </c>
      <c r="I393">
        <v>0.1</v>
      </c>
      <c r="J393" t="str">
        <f>_xlfn.XLOOKUP(tblOrders[[#This Row],[ProductID]],Products!$A$2:$A$9,Products!$B$2:$B$9,"Unknown")</f>
        <v>Tablet</v>
      </c>
      <c r="K393" t="str">
        <f>_xlfn.XLOOKUP(tblOrders[[#This Row],[ProductID]],Products!$A$2:$A$9,Products!$C$2:$C$9,"Unknown")</f>
        <v>Electronics</v>
      </c>
      <c r="L393">
        <f>_xlfn.XLOOKUP(tblOrders[[#This Row],[ProductID]],Products!$A$2:$A$9,Products!$D$2:$D$9,0)</f>
        <v>13500</v>
      </c>
      <c r="M393">
        <f>tblOrders[[#This Row],[Quantity]]*tblOrders[[#This Row],[UnitPrice]]*(1-tblOrders[[#This Row],[Discount]])</f>
        <v>243000</v>
      </c>
      <c r="N393">
        <f>tblOrders[[#This Row],[Quantity]]*tblOrders[[#This Row],[UnitCost]]</f>
        <v>202500</v>
      </c>
      <c r="O393">
        <f>tblOrders[[#This Row],[Revenue]]-tblOrders[[#This Row],[Cost]]</f>
        <v>40500</v>
      </c>
      <c r="P393" t="str">
        <f>TEXT(tblOrders[[#This Row],[OrderDate]],"mmm")</f>
        <v>Jun</v>
      </c>
    </row>
    <row r="394" spans="1:16" x14ac:dyDescent="0.25">
      <c r="A394" t="s">
        <v>990</v>
      </c>
      <c r="B394" s="2">
        <v>45846</v>
      </c>
      <c r="C394" t="s">
        <v>136</v>
      </c>
      <c r="D394" t="s">
        <v>16</v>
      </c>
      <c r="E394" t="s">
        <v>17</v>
      </c>
      <c r="F394" t="s">
        <v>64</v>
      </c>
      <c r="G394">
        <v>14</v>
      </c>
      <c r="H394">
        <v>500</v>
      </c>
      <c r="I394">
        <v>0</v>
      </c>
      <c r="J394" t="str">
        <f>_xlfn.XLOOKUP(tblOrders[[#This Row],[ProductID]],Products!$A$2:$A$9,Products!$B$2:$B$9,"Unknown")</f>
        <v>Mouse</v>
      </c>
      <c r="K394" t="str">
        <f>_xlfn.XLOOKUP(tblOrders[[#This Row],[ProductID]],Products!$A$2:$A$9,Products!$C$2:$C$9,"Unknown")</f>
        <v>Accessories</v>
      </c>
      <c r="L394">
        <f>_xlfn.XLOOKUP(tblOrders[[#This Row],[ProductID]],Products!$A$2:$A$9,Products!$D$2:$D$9,0)</f>
        <v>320</v>
      </c>
      <c r="M394">
        <f>tblOrders[[#This Row],[Quantity]]*tblOrders[[#This Row],[UnitPrice]]*(1-tblOrders[[#This Row],[Discount]])</f>
        <v>7000</v>
      </c>
      <c r="N394">
        <f>tblOrders[[#This Row],[Quantity]]*tblOrders[[#This Row],[UnitCost]]</f>
        <v>4480</v>
      </c>
      <c r="O394">
        <f>tblOrders[[#This Row],[Revenue]]-tblOrders[[#This Row],[Cost]]</f>
        <v>2520</v>
      </c>
      <c r="P394" t="str">
        <f>TEXT(tblOrders[[#This Row],[OrderDate]],"mmm")</f>
        <v>Jul</v>
      </c>
    </row>
    <row r="395" spans="1:16" x14ac:dyDescent="0.25">
      <c r="A395" t="s">
        <v>869</v>
      </c>
      <c r="B395" s="2">
        <v>45730</v>
      </c>
      <c r="C395" t="s">
        <v>73</v>
      </c>
      <c r="D395" t="s">
        <v>21</v>
      </c>
      <c r="E395" t="s">
        <v>22</v>
      </c>
      <c r="F395" t="s">
        <v>13</v>
      </c>
      <c r="G395">
        <v>10</v>
      </c>
      <c r="H395">
        <v>2000</v>
      </c>
      <c r="I395">
        <v>0</v>
      </c>
      <c r="J395" t="str">
        <f>_xlfn.XLOOKUP(tblOrders[[#This Row],[ProductID]],Products!$A$2:$A$9,Products!$B$2:$B$9,"Unknown")</f>
        <v>Headset</v>
      </c>
      <c r="K395" t="str">
        <f>_xlfn.XLOOKUP(tblOrders[[#This Row],[ProductID]],Products!$A$2:$A$9,Products!$C$2:$C$9,"Unknown")</f>
        <v>Accessories</v>
      </c>
      <c r="L395">
        <f>_xlfn.XLOOKUP(tblOrders[[#This Row],[ProductID]],Products!$A$2:$A$9,Products!$D$2:$D$9,0)</f>
        <v>1300</v>
      </c>
      <c r="M395">
        <f>tblOrders[[#This Row],[Quantity]]*tblOrders[[#This Row],[UnitPrice]]*(1-tblOrders[[#This Row],[Discount]])</f>
        <v>20000</v>
      </c>
      <c r="N395">
        <f>tblOrders[[#This Row],[Quantity]]*tblOrders[[#This Row],[UnitCost]]</f>
        <v>13000</v>
      </c>
      <c r="O395">
        <f>tblOrders[[#This Row],[Revenue]]-tblOrders[[#This Row],[Cost]]</f>
        <v>7000</v>
      </c>
      <c r="P395" t="str">
        <f>TEXT(tblOrders[[#This Row],[OrderDate]],"mmm")</f>
        <v>Mar</v>
      </c>
    </row>
    <row r="396" spans="1:16" x14ac:dyDescent="0.25">
      <c r="A396" t="s">
        <v>573</v>
      </c>
      <c r="B396" s="2">
        <v>45881</v>
      </c>
      <c r="C396" t="s">
        <v>1102</v>
      </c>
      <c r="D396" t="s">
        <v>11</v>
      </c>
      <c r="E396" t="s">
        <v>46</v>
      </c>
      <c r="F396" t="s">
        <v>18</v>
      </c>
      <c r="G396">
        <v>9</v>
      </c>
      <c r="H396">
        <v>18000</v>
      </c>
      <c r="I396">
        <v>0.15</v>
      </c>
      <c r="J396" t="str">
        <f>_xlfn.XLOOKUP(tblOrders[[#This Row],[ProductID]],Products!$A$2:$A$9,Products!$B$2:$B$9,"Unknown")</f>
        <v>Tablet</v>
      </c>
      <c r="K396" t="str">
        <f>_xlfn.XLOOKUP(tblOrders[[#This Row],[ProductID]],Products!$A$2:$A$9,Products!$C$2:$C$9,"Unknown")</f>
        <v>Electronics</v>
      </c>
      <c r="L396">
        <f>_xlfn.XLOOKUP(tblOrders[[#This Row],[ProductID]],Products!$A$2:$A$9,Products!$D$2:$D$9,0)</f>
        <v>13500</v>
      </c>
      <c r="M396">
        <f>tblOrders[[#This Row],[Quantity]]*tblOrders[[#This Row],[UnitPrice]]*(1-tblOrders[[#This Row],[Discount]])</f>
        <v>137700</v>
      </c>
      <c r="N396">
        <f>tblOrders[[#This Row],[Quantity]]*tblOrders[[#This Row],[UnitCost]]</f>
        <v>121500</v>
      </c>
      <c r="O396">
        <f>tblOrders[[#This Row],[Revenue]]-tblOrders[[#This Row],[Cost]]</f>
        <v>16200</v>
      </c>
      <c r="P396" t="str">
        <f>TEXT(tblOrders[[#This Row],[OrderDate]],"mmm")</f>
        <v>Aug</v>
      </c>
    </row>
    <row r="397" spans="1:16" x14ac:dyDescent="0.25">
      <c r="A397" t="s">
        <v>368</v>
      </c>
      <c r="B397" s="2">
        <v>45759</v>
      </c>
      <c r="C397" t="s">
        <v>121</v>
      </c>
      <c r="D397" t="s">
        <v>21</v>
      </c>
      <c r="E397" t="s">
        <v>22</v>
      </c>
      <c r="F397" t="s">
        <v>13</v>
      </c>
      <c r="G397">
        <v>3</v>
      </c>
      <c r="H397">
        <v>2000</v>
      </c>
      <c r="I397">
        <v>0.05</v>
      </c>
      <c r="J397" t="str">
        <f>_xlfn.XLOOKUP(tblOrders[[#This Row],[ProductID]],Products!$A$2:$A$9,Products!$B$2:$B$9,"Unknown")</f>
        <v>Headset</v>
      </c>
      <c r="K397" t="str">
        <f>_xlfn.XLOOKUP(tblOrders[[#This Row],[ProductID]],Products!$A$2:$A$9,Products!$C$2:$C$9,"Unknown")</f>
        <v>Accessories</v>
      </c>
      <c r="L397">
        <f>_xlfn.XLOOKUP(tblOrders[[#This Row],[ProductID]],Products!$A$2:$A$9,Products!$D$2:$D$9,0)</f>
        <v>1300</v>
      </c>
      <c r="M397">
        <f>tblOrders[[#This Row],[Quantity]]*tblOrders[[#This Row],[UnitPrice]]*(1-tblOrders[[#This Row],[Discount]])</f>
        <v>5700</v>
      </c>
      <c r="N397">
        <f>tblOrders[[#This Row],[Quantity]]*tblOrders[[#This Row],[UnitCost]]</f>
        <v>3900</v>
      </c>
      <c r="O397">
        <f>tblOrders[[#This Row],[Revenue]]-tblOrders[[#This Row],[Cost]]</f>
        <v>1800</v>
      </c>
      <c r="P397" t="str">
        <f>TEXT(tblOrders[[#This Row],[OrderDate]],"mmm")</f>
        <v>Apr</v>
      </c>
    </row>
    <row r="398" spans="1:16" x14ac:dyDescent="0.25">
      <c r="A398" t="s">
        <v>399</v>
      </c>
      <c r="B398" s="2">
        <v>46013</v>
      </c>
      <c r="C398" t="s">
        <v>99</v>
      </c>
      <c r="D398" t="s">
        <v>39</v>
      </c>
      <c r="E398" t="s">
        <v>40</v>
      </c>
      <c r="F398" t="s">
        <v>34</v>
      </c>
      <c r="G398">
        <v>9</v>
      </c>
      <c r="H398">
        <v>55000</v>
      </c>
      <c r="I398">
        <v>0.1</v>
      </c>
      <c r="J398" t="str">
        <f>_xlfn.XLOOKUP(tblOrders[[#This Row],[ProductID]],Products!$A$2:$A$9,Products!$B$2:$B$9,"Unknown")</f>
        <v>Laptop</v>
      </c>
      <c r="K398" t="str">
        <f>_xlfn.XLOOKUP(tblOrders[[#This Row],[ProductID]],Products!$A$2:$A$9,Products!$C$2:$C$9,"Unknown")</f>
        <v>Electronics</v>
      </c>
      <c r="L398">
        <f>_xlfn.XLOOKUP(tblOrders[[#This Row],[ProductID]],Products!$A$2:$A$9,Products!$D$2:$D$9,0)</f>
        <v>41000</v>
      </c>
      <c r="M398">
        <f>tblOrders[[#This Row],[Quantity]]*tblOrders[[#This Row],[UnitPrice]]*(1-tblOrders[[#This Row],[Discount]])</f>
        <v>445500</v>
      </c>
      <c r="N398">
        <f>tblOrders[[#This Row],[Quantity]]*tblOrders[[#This Row],[UnitCost]]</f>
        <v>369000</v>
      </c>
      <c r="O398">
        <f>tblOrders[[#This Row],[Revenue]]-tblOrders[[#This Row],[Cost]]</f>
        <v>76500</v>
      </c>
      <c r="P398" t="str">
        <f>TEXT(tblOrders[[#This Row],[OrderDate]],"mmm")</f>
        <v>Dec</v>
      </c>
    </row>
    <row r="399" spans="1:16" x14ac:dyDescent="0.25">
      <c r="A399" t="s">
        <v>407</v>
      </c>
      <c r="B399" s="2">
        <v>45811</v>
      </c>
      <c r="C399" t="s">
        <v>25</v>
      </c>
      <c r="D399" t="s">
        <v>16</v>
      </c>
      <c r="E399" t="s">
        <v>17</v>
      </c>
      <c r="F399" t="s">
        <v>64</v>
      </c>
      <c r="G399">
        <v>4</v>
      </c>
      <c r="H399">
        <v>500</v>
      </c>
      <c r="I399">
        <v>0.15</v>
      </c>
      <c r="J399" t="str">
        <f>_xlfn.XLOOKUP(tblOrders[[#This Row],[ProductID]],Products!$A$2:$A$9,Products!$B$2:$B$9,"Unknown")</f>
        <v>Mouse</v>
      </c>
      <c r="K399" t="str">
        <f>_xlfn.XLOOKUP(tblOrders[[#This Row],[ProductID]],Products!$A$2:$A$9,Products!$C$2:$C$9,"Unknown")</f>
        <v>Accessories</v>
      </c>
      <c r="L399">
        <f>_xlfn.XLOOKUP(tblOrders[[#This Row],[ProductID]],Products!$A$2:$A$9,Products!$D$2:$D$9,0)</f>
        <v>320</v>
      </c>
      <c r="M399">
        <f>tblOrders[[#This Row],[Quantity]]*tblOrders[[#This Row],[UnitPrice]]*(1-tblOrders[[#This Row],[Discount]])</f>
        <v>1700</v>
      </c>
      <c r="N399">
        <f>tblOrders[[#This Row],[Quantity]]*tblOrders[[#This Row],[UnitCost]]</f>
        <v>1280</v>
      </c>
      <c r="O399">
        <f>tblOrders[[#This Row],[Revenue]]-tblOrders[[#This Row],[Cost]]</f>
        <v>420</v>
      </c>
      <c r="P399" t="str">
        <f>TEXT(tblOrders[[#This Row],[OrderDate]],"mmm")</f>
        <v>Jun</v>
      </c>
    </row>
    <row r="400" spans="1:16" x14ac:dyDescent="0.25">
      <c r="A400" t="s">
        <v>683</v>
      </c>
      <c r="B400" s="2">
        <v>45935</v>
      </c>
      <c r="C400" t="s">
        <v>113</v>
      </c>
      <c r="D400" t="s">
        <v>11</v>
      </c>
      <c r="E400" t="s">
        <v>46</v>
      </c>
      <c r="F400" t="s">
        <v>13</v>
      </c>
      <c r="G400">
        <v>15</v>
      </c>
      <c r="H400">
        <v>2000</v>
      </c>
      <c r="I400">
        <v>0</v>
      </c>
      <c r="J400" t="str">
        <f>_xlfn.XLOOKUP(tblOrders[[#This Row],[ProductID]],Products!$A$2:$A$9,Products!$B$2:$B$9,"Unknown")</f>
        <v>Headset</v>
      </c>
      <c r="K400" t="str">
        <f>_xlfn.XLOOKUP(tblOrders[[#This Row],[ProductID]],Products!$A$2:$A$9,Products!$C$2:$C$9,"Unknown")</f>
        <v>Accessories</v>
      </c>
      <c r="L400">
        <f>_xlfn.XLOOKUP(tblOrders[[#This Row],[ProductID]],Products!$A$2:$A$9,Products!$D$2:$D$9,0)</f>
        <v>1300</v>
      </c>
      <c r="M400">
        <f>tblOrders[[#This Row],[Quantity]]*tblOrders[[#This Row],[UnitPrice]]*(1-tblOrders[[#This Row],[Discount]])</f>
        <v>30000</v>
      </c>
      <c r="N400">
        <f>tblOrders[[#This Row],[Quantity]]*tblOrders[[#This Row],[UnitCost]]</f>
        <v>19500</v>
      </c>
      <c r="O400">
        <f>tblOrders[[#This Row],[Revenue]]-tblOrders[[#This Row],[Cost]]</f>
        <v>10500</v>
      </c>
      <c r="P400" t="str">
        <f>TEXT(tblOrders[[#This Row],[OrderDate]],"mmm")</f>
        <v>Oct</v>
      </c>
    </row>
    <row r="401" spans="1:16" x14ac:dyDescent="0.25">
      <c r="A401" t="s">
        <v>356</v>
      </c>
      <c r="B401" s="2">
        <v>45960</v>
      </c>
      <c r="C401" t="s">
        <v>132</v>
      </c>
      <c r="D401" t="s">
        <v>16</v>
      </c>
      <c r="E401" t="s">
        <v>17</v>
      </c>
      <c r="F401" t="s">
        <v>69</v>
      </c>
      <c r="G401">
        <v>2</v>
      </c>
      <c r="H401">
        <v>12000</v>
      </c>
      <c r="I401">
        <v>0.1</v>
      </c>
      <c r="J401" t="str">
        <f>_xlfn.XLOOKUP(tblOrders[[#This Row],[ProductID]],Products!$A$2:$A$9,Products!$B$2:$B$9,"Unknown")</f>
        <v>Monitor</v>
      </c>
      <c r="K401" t="str">
        <f>_xlfn.XLOOKUP(tblOrders[[#This Row],[ProductID]],Products!$A$2:$A$9,Products!$C$2:$C$9,"Unknown")</f>
        <v>Electronics</v>
      </c>
      <c r="L401">
        <f>_xlfn.XLOOKUP(tblOrders[[#This Row],[ProductID]],Products!$A$2:$A$9,Products!$D$2:$D$9,0)</f>
        <v>9000</v>
      </c>
      <c r="M401">
        <f>tblOrders[[#This Row],[Quantity]]*tblOrders[[#This Row],[UnitPrice]]*(1-tblOrders[[#This Row],[Discount]])</f>
        <v>21600</v>
      </c>
      <c r="N401">
        <f>tblOrders[[#This Row],[Quantity]]*tblOrders[[#This Row],[UnitCost]]</f>
        <v>18000</v>
      </c>
      <c r="O401">
        <f>tblOrders[[#This Row],[Revenue]]-tblOrders[[#This Row],[Cost]]</f>
        <v>3600</v>
      </c>
      <c r="P401" t="str">
        <f>TEXT(tblOrders[[#This Row],[OrderDate]],"mmm")</f>
        <v>Oct</v>
      </c>
    </row>
    <row r="402" spans="1:16" x14ac:dyDescent="0.25">
      <c r="A402" t="s">
        <v>212</v>
      </c>
      <c r="B402" s="2">
        <v>45713</v>
      </c>
      <c r="C402" t="s">
        <v>61</v>
      </c>
      <c r="D402" t="s">
        <v>21</v>
      </c>
      <c r="E402" t="s">
        <v>28</v>
      </c>
      <c r="F402" t="s">
        <v>23</v>
      </c>
      <c r="G402">
        <v>14</v>
      </c>
      <c r="H402">
        <v>900</v>
      </c>
      <c r="I402">
        <v>0</v>
      </c>
      <c r="J402" t="str">
        <f>_xlfn.XLOOKUP(tblOrders[[#This Row],[ProductID]],Products!$A$2:$A$9,Products!$B$2:$B$9,"Unknown")</f>
        <v>Keyboard</v>
      </c>
      <c r="K402" t="str">
        <f>_xlfn.XLOOKUP(tblOrders[[#This Row],[ProductID]],Products!$A$2:$A$9,Products!$C$2:$C$9,"Unknown")</f>
        <v>Accessories</v>
      </c>
      <c r="L402">
        <f>_xlfn.XLOOKUP(tblOrders[[#This Row],[ProductID]],Products!$A$2:$A$9,Products!$D$2:$D$9,0)</f>
        <v>600</v>
      </c>
      <c r="M402">
        <f>tblOrders[[#This Row],[Quantity]]*tblOrders[[#This Row],[UnitPrice]]*(1-tblOrders[[#This Row],[Discount]])</f>
        <v>12600</v>
      </c>
      <c r="N402">
        <f>tblOrders[[#This Row],[Quantity]]*tblOrders[[#This Row],[UnitCost]]</f>
        <v>8400</v>
      </c>
      <c r="O402">
        <f>tblOrders[[#This Row],[Revenue]]-tblOrders[[#This Row],[Cost]]</f>
        <v>4200</v>
      </c>
      <c r="P402" t="str">
        <f>TEXT(tblOrders[[#This Row],[OrderDate]],"mmm")</f>
        <v>Feb</v>
      </c>
    </row>
    <row r="403" spans="1:16" x14ac:dyDescent="0.25">
      <c r="A403" t="s">
        <v>273</v>
      </c>
      <c r="B403" s="2">
        <v>45674</v>
      </c>
      <c r="C403" t="s">
        <v>195</v>
      </c>
      <c r="D403" t="s">
        <v>11</v>
      </c>
      <c r="E403" t="s">
        <v>12</v>
      </c>
      <c r="F403" t="s">
        <v>69</v>
      </c>
      <c r="G403">
        <v>12</v>
      </c>
      <c r="H403">
        <v>12000</v>
      </c>
      <c r="I403">
        <v>0.1</v>
      </c>
      <c r="J403" t="str">
        <f>_xlfn.XLOOKUP(tblOrders[[#This Row],[ProductID]],Products!$A$2:$A$9,Products!$B$2:$B$9,"Unknown")</f>
        <v>Monitor</v>
      </c>
      <c r="K403" t="str">
        <f>_xlfn.XLOOKUP(tblOrders[[#This Row],[ProductID]],Products!$A$2:$A$9,Products!$C$2:$C$9,"Unknown")</f>
        <v>Electronics</v>
      </c>
      <c r="L403">
        <f>_xlfn.XLOOKUP(tblOrders[[#This Row],[ProductID]],Products!$A$2:$A$9,Products!$D$2:$D$9,0)</f>
        <v>9000</v>
      </c>
      <c r="M403">
        <f>tblOrders[[#This Row],[Quantity]]*tblOrders[[#This Row],[UnitPrice]]*(1-tblOrders[[#This Row],[Discount]])</f>
        <v>129600</v>
      </c>
      <c r="N403">
        <f>tblOrders[[#This Row],[Quantity]]*tblOrders[[#This Row],[UnitCost]]</f>
        <v>108000</v>
      </c>
      <c r="O403">
        <f>tblOrders[[#This Row],[Revenue]]-tblOrders[[#This Row],[Cost]]</f>
        <v>21600</v>
      </c>
      <c r="P403" t="str">
        <f>TEXT(tblOrders[[#This Row],[OrderDate]],"mmm")</f>
        <v>Jan</v>
      </c>
    </row>
    <row r="404" spans="1:16" x14ac:dyDescent="0.25">
      <c r="A404" t="s">
        <v>14</v>
      </c>
      <c r="B404" s="2">
        <v>45658</v>
      </c>
      <c r="C404" t="s">
        <v>15</v>
      </c>
      <c r="D404" t="s">
        <v>16</v>
      </c>
      <c r="E404" t="s">
        <v>17</v>
      </c>
      <c r="F404" t="s">
        <v>18</v>
      </c>
      <c r="G404">
        <v>13</v>
      </c>
      <c r="H404">
        <v>18000</v>
      </c>
      <c r="I404">
        <v>0</v>
      </c>
      <c r="J404" t="str">
        <f>_xlfn.XLOOKUP(tblOrders[[#This Row],[ProductID]],Products!$A$2:$A$9,Products!$B$2:$B$9,"Unknown")</f>
        <v>Tablet</v>
      </c>
      <c r="K404" t="str">
        <f>_xlfn.XLOOKUP(tblOrders[[#This Row],[ProductID]],Products!$A$2:$A$9,Products!$C$2:$C$9,"Unknown")</f>
        <v>Electronics</v>
      </c>
      <c r="L404">
        <f>_xlfn.XLOOKUP(tblOrders[[#This Row],[ProductID]],Products!$A$2:$A$9,Products!$D$2:$D$9,0)</f>
        <v>13500</v>
      </c>
      <c r="M404">
        <f>tblOrders[[#This Row],[Quantity]]*tblOrders[[#This Row],[UnitPrice]]*(1-tblOrders[[#This Row],[Discount]])</f>
        <v>234000</v>
      </c>
      <c r="N404">
        <f>tblOrders[[#This Row],[Quantity]]*tblOrders[[#This Row],[UnitCost]]</f>
        <v>175500</v>
      </c>
      <c r="O404">
        <f>tblOrders[[#This Row],[Revenue]]-tblOrders[[#This Row],[Cost]]</f>
        <v>58500</v>
      </c>
      <c r="P404" t="str">
        <f>TEXT(tblOrders[[#This Row],[OrderDate]],"mmm")</f>
        <v>Jan</v>
      </c>
    </row>
    <row r="405" spans="1:16" x14ac:dyDescent="0.25">
      <c r="A405" t="s">
        <v>434</v>
      </c>
      <c r="B405" s="2">
        <v>45866</v>
      </c>
      <c r="C405" t="s">
        <v>15</v>
      </c>
      <c r="D405" t="s">
        <v>16</v>
      </c>
      <c r="E405" t="s">
        <v>17</v>
      </c>
      <c r="F405" t="s">
        <v>64</v>
      </c>
      <c r="G405">
        <v>4</v>
      </c>
      <c r="H405">
        <v>500</v>
      </c>
      <c r="I405">
        <v>0</v>
      </c>
      <c r="J405" t="str">
        <f>_xlfn.XLOOKUP(tblOrders[[#This Row],[ProductID]],Products!$A$2:$A$9,Products!$B$2:$B$9,"Unknown")</f>
        <v>Mouse</v>
      </c>
      <c r="K405" t="str">
        <f>_xlfn.XLOOKUP(tblOrders[[#This Row],[ProductID]],Products!$A$2:$A$9,Products!$C$2:$C$9,"Unknown")</f>
        <v>Accessories</v>
      </c>
      <c r="L405">
        <f>_xlfn.XLOOKUP(tblOrders[[#This Row],[ProductID]],Products!$A$2:$A$9,Products!$D$2:$D$9,0)</f>
        <v>320</v>
      </c>
      <c r="M405">
        <f>tblOrders[[#This Row],[Quantity]]*tblOrders[[#This Row],[UnitPrice]]*(1-tblOrders[[#This Row],[Discount]])</f>
        <v>2000</v>
      </c>
      <c r="N405">
        <f>tblOrders[[#This Row],[Quantity]]*tblOrders[[#This Row],[UnitCost]]</f>
        <v>1280</v>
      </c>
      <c r="O405">
        <f>tblOrders[[#This Row],[Revenue]]-tblOrders[[#This Row],[Cost]]</f>
        <v>720</v>
      </c>
      <c r="P405" t="str">
        <f>TEXT(tblOrders[[#This Row],[OrderDate]],"mmm")</f>
        <v>Jul</v>
      </c>
    </row>
    <row r="406" spans="1:16" x14ac:dyDescent="0.25">
      <c r="A406" t="s">
        <v>395</v>
      </c>
      <c r="B406" s="2">
        <v>45781</v>
      </c>
      <c r="C406" t="s">
        <v>195</v>
      </c>
      <c r="D406" t="s">
        <v>16</v>
      </c>
      <c r="E406" t="s">
        <v>33</v>
      </c>
      <c r="F406" t="s">
        <v>34</v>
      </c>
      <c r="G406">
        <v>10</v>
      </c>
      <c r="H406">
        <v>55000</v>
      </c>
      <c r="I406">
        <v>0</v>
      </c>
      <c r="J406" t="str">
        <f>_xlfn.XLOOKUP(tblOrders[[#This Row],[ProductID]],Products!$A$2:$A$9,Products!$B$2:$B$9,"Unknown")</f>
        <v>Laptop</v>
      </c>
      <c r="K406" t="str">
        <f>_xlfn.XLOOKUP(tblOrders[[#This Row],[ProductID]],Products!$A$2:$A$9,Products!$C$2:$C$9,"Unknown")</f>
        <v>Electronics</v>
      </c>
      <c r="L406">
        <f>_xlfn.XLOOKUP(tblOrders[[#This Row],[ProductID]],Products!$A$2:$A$9,Products!$D$2:$D$9,0)</f>
        <v>41000</v>
      </c>
      <c r="M406">
        <f>tblOrders[[#This Row],[Quantity]]*tblOrders[[#This Row],[UnitPrice]]*(1-tblOrders[[#This Row],[Discount]])</f>
        <v>550000</v>
      </c>
      <c r="N406">
        <f>tblOrders[[#This Row],[Quantity]]*tblOrders[[#This Row],[UnitCost]]</f>
        <v>410000</v>
      </c>
      <c r="O406">
        <f>tblOrders[[#This Row],[Revenue]]-tblOrders[[#This Row],[Cost]]</f>
        <v>140000</v>
      </c>
      <c r="P406" t="str">
        <f>TEXT(tblOrders[[#This Row],[OrderDate]],"mmm")</f>
        <v>May</v>
      </c>
    </row>
    <row r="407" spans="1:16" x14ac:dyDescent="0.25">
      <c r="A407" t="s">
        <v>634</v>
      </c>
      <c r="B407" s="2">
        <v>45924</v>
      </c>
      <c r="C407" t="s">
        <v>80</v>
      </c>
      <c r="D407" t="s">
        <v>16</v>
      </c>
      <c r="E407" t="s">
        <v>33</v>
      </c>
      <c r="F407" t="s">
        <v>43</v>
      </c>
      <c r="G407">
        <v>11</v>
      </c>
      <c r="H407">
        <v>1500</v>
      </c>
      <c r="I407">
        <v>0</v>
      </c>
      <c r="J407" t="str">
        <f>_xlfn.XLOOKUP(tblOrders[[#This Row],[ProductID]],Products!$A$2:$A$9,Products!$B$2:$B$9,"Unknown")</f>
        <v>Webcam</v>
      </c>
      <c r="K407" t="str">
        <f>_xlfn.XLOOKUP(tblOrders[[#This Row],[ProductID]],Products!$A$2:$A$9,Products!$C$2:$C$9,"Unknown")</f>
        <v>Accessories</v>
      </c>
      <c r="L407">
        <f>_xlfn.XLOOKUP(tblOrders[[#This Row],[ProductID]],Products!$A$2:$A$9,Products!$D$2:$D$9,0)</f>
        <v>980</v>
      </c>
      <c r="M407">
        <f>tblOrders[[#This Row],[Quantity]]*tblOrders[[#This Row],[UnitPrice]]*(1-tblOrders[[#This Row],[Discount]])</f>
        <v>16500</v>
      </c>
      <c r="N407">
        <f>tblOrders[[#This Row],[Quantity]]*tblOrders[[#This Row],[UnitCost]]</f>
        <v>10780</v>
      </c>
      <c r="O407">
        <f>tblOrders[[#This Row],[Revenue]]-tblOrders[[#This Row],[Cost]]</f>
        <v>5720</v>
      </c>
      <c r="P407" t="str">
        <f>TEXT(tblOrders[[#This Row],[OrderDate]],"mmm")</f>
        <v>Sep</v>
      </c>
    </row>
    <row r="408" spans="1:16" x14ac:dyDescent="0.25">
      <c r="A408" t="s">
        <v>696</v>
      </c>
      <c r="B408" s="2">
        <v>45747</v>
      </c>
      <c r="C408" t="s">
        <v>59</v>
      </c>
      <c r="D408" t="s">
        <v>11</v>
      </c>
      <c r="E408" t="s">
        <v>46</v>
      </c>
      <c r="F408" t="s">
        <v>69</v>
      </c>
      <c r="G408">
        <v>4</v>
      </c>
      <c r="H408">
        <v>12000</v>
      </c>
      <c r="I408">
        <v>0</v>
      </c>
      <c r="J408" t="str">
        <f>_xlfn.XLOOKUP(tblOrders[[#This Row],[ProductID]],Products!$A$2:$A$9,Products!$B$2:$B$9,"Unknown")</f>
        <v>Monitor</v>
      </c>
      <c r="K408" t="str">
        <f>_xlfn.XLOOKUP(tblOrders[[#This Row],[ProductID]],Products!$A$2:$A$9,Products!$C$2:$C$9,"Unknown")</f>
        <v>Electronics</v>
      </c>
      <c r="L408">
        <f>_xlfn.XLOOKUP(tblOrders[[#This Row],[ProductID]],Products!$A$2:$A$9,Products!$D$2:$D$9,0)</f>
        <v>9000</v>
      </c>
      <c r="M408">
        <f>tblOrders[[#This Row],[Quantity]]*tblOrders[[#This Row],[UnitPrice]]*(1-tblOrders[[#This Row],[Discount]])</f>
        <v>48000</v>
      </c>
      <c r="N408">
        <f>tblOrders[[#This Row],[Quantity]]*tblOrders[[#This Row],[UnitCost]]</f>
        <v>36000</v>
      </c>
      <c r="O408">
        <f>tblOrders[[#This Row],[Revenue]]-tblOrders[[#This Row],[Cost]]</f>
        <v>12000</v>
      </c>
      <c r="P408" t="str">
        <f>TEXT(tblOrders[[#This Row],[OrderDate]],"mmm")</f>
        <v>Mar</v>
      </c>
    </row>
    <row r="409" spans="1:16" x14ac:dyDescent="0.25">
      <c r="A409" t="s">
        <v>83</v>
      </c>
      <c r="B409" s="2">
        <v>45771</v>
      </c>
      <c r="C409" t="s">
        <v>52</v>
      </c>
      <c r="D409" t="s">
        <v>16</v>
      </c>
      <c r="E409" t="s">
        <v>33</v>
      </c>
      <c r="F409" t="s">
        <v>69</v>
      </c>
      <c r="G409">
        <v>4</v>
      </c>
      <c r="H409">
        <v>12000</v>
      </c>
      <c r="I409">
        <v>0.15</v>
      </c>
      <c r="J409" t="str">
        <f>_xlfn.XLOOKUP(tblOrders[[#This Row],[ProductID]],Products!$A$2:$A$9,Products!$B$2:$B$9,"Unknown")</f>
        <v>Monitor</v>
      </c>
      <c r="K409" t="str">
        <f>_xlfn.XLOOKUP(tblOrders[[#This Row],[ProductID]],Products!$A$2:$A$9,Products!$C$2:$C$9,"Unknown")</f>
        <v>Electronics</v>
      </c>
      <c r="L409">
        <f>_xlfn.XLOOKUP(tblOrders[[#This Row],[ProductID]],Products!$A$2:$A$9,Products!$D$2:$D$9,0)</f>
        <v>9000</v>
      </c>
      <c r="M409">
        <f>tblOrders[[#This Row],[Quantity]]*tblOrders[[#This Row],[UnitPrice]]*(1-tblOrders[[#This Row],[Discount]])</f>
        <v>40800</v>
      </c>
      <c r="N409">
        <f>tblOrders[[#This Row],[Quantity]]*tblOrders[[#This Row],[UnitCost]]</f>
        <v>36000</v>
      </c>
      <c r="O409">
        <f>tblOrders[[#This Row],[Revenue]]-tblOrders[[#This Row],[Cost]]</f>
        <v>4800</v>
      </c>
      <c r="P409" t="str">
        <f>TEXT(tblOrders[[#This Row],[OrderDate]],"mmm")</f>
        <v>Apr</v>
      </c>
    </row>
    <row r="410" spans="1:16" x14ac:dyDescent="0.25">
      <c r="A410" t="s">
        <v>515</v>
      </c>
      <c r="B410" s="2">
        <v>45962</v>
      </c>
      <c r="C410" t="s">
        <v>333</v>
      </c>
      <c r="D410" t="s">
        <v>16</v>
      </c>
      <c r="E410" t="s">
        <v>17</v>
      </c>
      <c r="F410" t="s">
        <v>34</v>
      </c>
      <c r="G410">
        <v>3</v>
      </c>
      <c r="H410">
        <v>55000</v>
      </c>
      <c r="I410">
        <v>0</v>
      </c>
      <c r="J410" t="str">
        <f>_xlfn.XLOOKUP(tblOrders[[#This Row],[ProductID]],Products!$A$2:$A$9,Products!$B$2:$B$9,"Unknown")</f>
        <v>Laptop</v>
      </c>
      <c r="K410" t="str">
        <f>_xlfn.XLOOKUP(tblOrders[[#This Row],[ProductID]],Products!$A$2:$A$9,Products!$C$2:$C$9,"Unknown")</f>
        <v>Electronics</v>
      </c>
      <c r="L410">
        <f>_xlfn.XLOOKUP(tblOrders[[#This Row],[ProductID]],Products!$A$2:$A$9,Products!$D$2:$D$9,0)</f>
        <v>41000</v>
      </c>
      <c r="M410">
        <f>tblOrders[[#This Row],[Quantity]]*tblOrders[[#This Row],[UnitPrice]]*(1-tblOrders[[#This Row],[Discount]])</f>
        <v>165000</v>
      </c>
      <c r="N410">
        <f>tblOrders[[#This Row],[Quantity]]*tblOrders[[#This Row],[UnitCost]]</f>
        <v>123000</v>
      </c>
      <c r="O410">
        <f>tblOrders[[#This Row],[Revenue]]-tblOrders[[#This Row],[Cost]]</f>
        <v>42000</v>
      </c>
      <c r="P410" t="str">
        <f>TEXT(tblOrders[[#This Row],[OrderDate]],"mmm")</f>
        <v>Nov</v>
      </c>
    </row>
    <row r="411" spans="1:16" x14ac:dyDescent="0.25">
      <c r="A411" t="s">
        <v>714</v>
      </c>
      <c r="B411" s="2">
        <v>45812</v>
      </c>
      <c r="C411" t="s">
        <v>229</v>
      </c>
      <c r="D411" t="s">
        <v>16</v>
      </c>
      <c r="E411" t="s">
        <v>17</v>
      </c>
      <c r="F411" t="s">
        <v>55</v>
      </c>
      <c r="G411">
        <v>11</v>
      </c>
      <c r="H411">
        <v>8000</v>
      </c>
      <c r="I411">
        <v>0</v>
      </c>
      <c r="J411" t="str">
        <f>_xlfn.XLOOKUP(tblOrders[[#This Row],[ProductID]],Products!$A$2:$A$9,Products!$B$2:$B$9,"Unknown")</f>
        <v>Printer</v>
      </c>
      <c r="K411" t="str">
        <f>_xlfn.XLOOKUP(tblOrders[[#This Row],[ProductID]],Products!$A$2:$A$9,Products!$C$2:$C$9,"Unknown")</f>
        <v>Electronics</v>
      </c>
      <c r="L411">
        <f>_xlfn.XLOOKUP(tblOrders[[#This Row],[ProductID]],Products!$A$2:$A$9,Products!$D$2:$D$9,0)</f>
        <v>6200</v>
      </c>
      <c r="M411">
        <f>tblOrders[[#This Row],[Quantity]]*tblOrders[[#This Row],[UnitPrice]]*(1-tblOrders[[#This Row],[Discount]])</f>
        <v>88000</v>
      </c>
      <c r="N411">
        <f>tblOrders[[#This Row],[Quantity]]*tblOrders[[#This Row],[UnitCost]]</f>
        <v>68200</v>
      </c>
      <c r="O411">
        <f>tblOrders[[#This Row],[Revenue]]-tblOrders[[#This Row],[Cost]]</f>
        <v>19800</v>
      </c>
      <c r="P411" t="str">
        <f>TEXT(tblOrders[[#This Row],[OrderDate]],"mmm")</f>
        <v>Jun</v>
      </c>
    </row>
    <row r="412" spans="1:16" x14ac:dyDescent="0.25">
      <c r="A412" t="s">
        <v>802</v>
      </c>
      <c r="B412" s="2">
        <v>45934</v>
      </c>
      <c r="C412" t="s">
        <v>66</v>
      </c>
      <c r="D412" t="s">
        <v>21</v>
      </c>
      <c r="E412" t="s">
        <v>28</v>
      </c>
      <c r="F412" t="s">
        <v>18</v>
      </c>
      <c r="G412">
        <v>11</v>
      </c>
      <c r="H412">
        <v>18000</v>
      </c>
      <c r="I412">
        <v>0.1</v>
      </c>
      <c r="J412" t="str">
        <f>_xlfn.XLOOKUP(tblOrders[[#This Row],[ProductID]],Products!$A$2:$A$9,Products!$B$2:$B$9,"Unknown")</f>
        <v>Tablet</v>
      </c>
      <c r="K412" t="str">
        <f>_xlfn.XLOOKUP(tblOrders[[#This Row],[ProductID]],Products!$A$2:$A$9,Products!$C$2:$C$9,"Unknown")</f>
        <v>Electronics</v>
      </c>
      <c r="L412">
        <f>_xlfn.XLOOKUP(tblOrders[[#This Row],[ProductID]],Products!$A$2:$A$9,Products!$D$2:$D$9,0)</f>
        <v>13500</v>
      </c>
      <c r="M412">
        <f>tblOrders[[#This Row],[Quantity]]*tblOrders[[#This Row],[UnitPrice]]*(1-tblOrders[[#This Row],[Discount]])</f>
        <v>178200</v>
      </c>
      <c r="N412">
        <f>tblOrders[[#This Row],[Quantity]]*tblOrders[[#This Row],[UnitCost]]</f>
        <v>148500</v>
      </c>
      <c r="O412">
        <f>tblOrders[[#This Row],[Revenue]]-tblOrders[[#This Row],[Cost]]</f>
        <v>29700</v>
      </c>
      <c r="P412" t="str">
        <f>TEXT(tblOrders[[#This Row],[OrderDate]],"mmm")</f>
        <v>Oct</v>
      </c>
    </row>
    <row r="413" spans="1:16" x14ac:dyDescent="0.25">
      <c r="A413" t="s">
        <v>241</v>
      </c>
      <c r="B413" s="2">
        <v>45769</v>
      </c>
      <c r="C413" t="s">
        <v>162</v>
      </c>
      <c r="D413" t="s">
        <v>21</v>
      </c>
      <c r="E413" t="s">
        <v>28</v>
      </c>
      <c r="F413" t="s">
        <v>13</v>
      </c>
      <c r="G413">
        <v>9</v>
      </c>
      <c r="H413">
        <v>2000</v>
      </c>
      <c r="I413">
        <v>0</v>
      </c>
      <c r="J413" t="str">
        <f>_xlfn.XLOOKUP(tblOrders[[#This Row],[ProductID]],Products!$A$2:$A$9,Products!$B$2:$B$9,"Unknown")</f>
        <v>Headset</v>
      </c>
      <c r="K413" t="str">
        <f>_xlfn.XLOOKUP(tblOrders[[#This Row],[ProductID]],Products!$A$2:$A$9,Products!$C$2:$C$9,"Unknown")</f>
        <v>Accessories</v>
      </c>
      <c r="L413">
        <f>_xlfn.XLOOKUP(tblOrders[[#This Row],[ProductID]],Products!$A$2:$A$9,Products!$D$2:$D$9,0)</f>
        <v>1300</v>
      </c>
      <c r="M413">
        <f>tblOrders[[#This Row],[Quantity]]*tblOrders[[#This Row],[UnitPrice]]*(1-tblOrders[[#This Row],[Discount]])</f>
        <v>18000</v>
      </c>
      <c r="N413">
        <f>tblOrders[[#This Row],[Quantity]]*tblOrders[[#This Row],[UnitCost]]</f>
        <v>11700</v>
      </c>
      <c r="O413">
        <f>tblOrders[[#This Row],[Revenue]]-tblOrders[[#This Row],[Cost]]</f>
        <v>6300</v>
      </c>
      <c r="P413" t="str">
        <f>TEXT(tblOrders[[#This Row],[OrderDate]],"mmm")</f>
        <v>Apr</v>
      </c>
    </row>
    <row r="414" spans="1:16" x14ac:dyDescent="0.25">
      <c r="A414" t="s">
        <v>716</v>
      </c>
      <c r="B414" s="2">
        <v>45693</v>
      </c>
      <c r="C414" t="s">
        <v>229</v>
      </c>
      <c r="D414" t="s">
        <v>21</v>
      </c>
      <c r="E414" t="s">
        <v>22</v>
      </c>
      <c r="F414" t="s">
        <v>13</v>
      </c>
      <c r="G414">
        <v>3</v>
      </c>
      <c r="H414">
        <v>2000</v>
      </c>
      <c r="I414">
        <v>0.05</v>
      </c>
      <c r="J414" t="str">
        <f>_xlfn.XLOOKUP(tblOrders[[#This Row],[ProductID]],Products!$A$2:$A$9,Products!$B$2:$B$9,"Unknown")</f>
        <v>Headset</v>
      </c>
      <c r="K414" t="str">
        <f>_xlfn.XLOOKUP(tblOrders[[#This Row],[ProductID]],Products!$A$2:$A$9,Products!$C$2:$C$9,"Unknown")</f>
        <v>Accessories</v>
      </c>
      <c r="L414">
        <f>_xlfn.XLOOKUP(tblOrders[[#This Row],[ProductID]],Products!$A$2:$A$9,Products!$D$2:$D$9,0)</f>
        <v>1300</v>
      </c>
      <c r="M414">
        <f>tblOrders[[#This Row],[Quantity]]*tblOrders[[#This Row],[UnitPrice]]*(1-tblOrders[[#This Row],[Discount]])</f>
        <v>5700</v>
      </c>
      <c r="N414">
        <f>tblOrders[[#This Row],[Quantity]]*tblOrders[[#This Row],[UnitCost]]</f>
        <v>3900</v>
      </c>
      <c r="O414">
        <f>tblOrders[[#This Row],[Revenue]]-tblOrders[[#This Row],[Cost]]</f>
        <v>1800</v>
      </c>
      <c r="P414" t="str">
        <f>TEXT(tblOrders[[#This Row],[OrderDate]],"mmm")</f>
        <v>Feb</v>
      </c>
    </row>
    <row r="415" spans="1:16" x14ac:dyDescent="0.25">
      <c r="A415" t="s">
        <v>139</v>
      </c>
      <c r="B415" s="2">
        <v>45831</v>
      </c>
      <c r="C415" t="s">
        <v>36</v>
      </c>
      <c r="D415" t="s">
        <v>11</v>
      </c>
      <c r="E415" t="s">
        <v>12</v>
      </c>
      <c r="F415" t="s">
        <v>13</v>
      </c>
      <c r="G415">
        <v>15</v>
      </c>
      <c r="H415">
        <v>2000</v>
      </c>
      <c r="I415">
        <v>0</v>
      </c>
      <c r="J415" t="str">
        <f>_xlfn.XLOOKUP(tblOrders[[#This Row],[ProductID]],Products!$A$2:$A$9,Products!$B$2:$B$9,"Unknown")</f>
        <v>Headset</v>
      </c>
      <c r="K415" t="str">
        <f>_xlfn.XLOOKUP(tblOrders[[#This Row],[ProductID]],Products!$A$2:$A$9,Products!$C$2:$C$9,"Unknown")</f>
        <v>Accessories</v>
      </c>
      <c r="L415">
        <f>_xlfn.XLOOKUP(tblOrders[[#This Row],[ProductID]],Products!$A$2:$A$9,Products!$D$2:$D$9,0)</f>
        <v>1300</v>
      </c>
      <c r="M415">
        <f>tblOrders[[#This Row],[Quantity]]*tblOrders[[#This Row],[UnitPrice]]*(1-tblOrders[[#This Row],[Discount]])</f>
        <v>30000</v>
      </c>
      <c r="N415">
        <f>tblOrders[[#This Row],[Quantity]]*tblOrders[[#This Row],[UnitCost]]</f>
        <v>19500</v>
      </c>
      <c r="O415">
        <f>tblOrders[[#This Row],[Revenue]]-tblOrders[[#This Row],[Cost]]</f>
        <v>10500</v>
      </c>
      <c r="P415" t="str">
        <f>TEXT(tblOrders[[#This Row],[OrderDate]],"mmm")</f>
        <v>Jun</v>
      </c>
    </row>
    <row r="416" spans="1:16" x14ac:dyDescent="0.25">
      <c r="A416" t="s">
        <v>414</v>
      </c>
      <c r="B416" s="2">
        <v>45901</v>
      </c>
      <c r="C416" t="s">
        <v>175</v>
      </c>
      <c r="D416" t="s">
        <v>21</v>
      </c>
      <c r="E416" t="s">
        <v>22</v>
      </c>
      <c r="F416" t="s">
        <v>34</v>
      </c>
      <c r="G416">
        <v>8</v>
      </c>
      <c r="H416">
        <v>55000</v>
      </c>
      <c r="I416">
        <v>0</v>
      </c>
      <c r="J416" t="str">
        <f>_xlfn.XLOOKUP(tblOrders[[#This Row],[ProductID]],Products!$A$2:$A$9,Products!$B$2:$B$9,"Unknown")</f>
        <v>Laptop</v>
      </c>
      <c r="K416" t="str">
        <f>_xlfn.XLOOKUP(tblOrders[[#This Row],[ProductID]],Products!$A$2:$A$9,Products!$C$2:$C$9,"Unknown")</f>
        <v>Electronics</v>
      </c>
      <c r="L416">
        <f>_xlfn.XLOOKUP(tblOrders[[#This Row],[ProductID]],Products!$A$2:$A$9,Products!$D$2:$D$9,0)</f>
        <v>41000</v>
      </c>
      <c r="M416">
        <f>tblOrders[[#This Row],[Quantity]]*tblOrders[[#This Row],[UnitPrice]]*(1-tblOrders[[#This Row],[Discount]])</f>
        <v>440000</v>
      </c>
      <c r="N416">
        <f>tblOrders[[#This Row],[Quantity]]*tblOrders[[#This Row],[UnitCost]]</f>
        <v>328000</v>
      </c>
      <c r="O416">
        <f>tblOrders[[#This Row],[Revenue]]-tblOrders[[#This Row],[Cost]]</f>
        <v>112000</v>
      </c>
      <c r="P416" t="str">
        <f>TEXT(tblOrders[[#This Row],[OrderDate]],"mmm")</f>
        <v>Sep</v>
      </c>
    </row>
    <row r="417" spans="1:16" x14ac:dyDescent="0.25">
      <c r="A417" t="s">
        <v>623</v>
      </c>
      <c r="B417" s="2">
        <v>45875</v>
      </c>
      <c r="C417" t="s">
        <v>132</v>
      </c>
      <c r="D417" t="s">
        <v>11</v>
      </c>
      <c r="E417" t="s">
        <v>46</v>
      </c>
      <c r="F417" t="s">
        <v>69</v>
      </c>
      <c r="G417">
        <v>2</v>
      </c>
      <c r="H417">
        <v>12000</v>
      </c>
      <c r="I417">
        <v>0</v>
      </c>
      <c r="J417" t="str">
        <f>_xlfn.XLOOKUP(tblOrders[[#This Row],[ProductID]],Products!$A$2:$A$9,Products!$B$2:$B$9,"Unknown")</f>
        <v>Monitor</v>
      </c>
      <c r="K417" t="str">
        <f>_xlfn.XLOOKUP(tblOrders[[#This Row],[ProductID]],Products!$A$2:$A$9,Products!$C$2:$C$9,"Unknown")</f>
        <v>Electronics</v>
      </c>
      <c r="L417">
        <f>_xlfn.XLOOKUP(tblOrders[[#This Row],[ProductID]],Products!$A$2:$A$9,Products!$D$2:$D$9,0)</f>
        <v>9000</v>
      </c>
      <c r="M417">
        <f>tblOrders[[#This Row],[Quantity]]*tblOrders[[#This Row],[UnitPrice]]*(1-tblOrders[[#This Row],[Discount]])</f>
        <v>24000</v>
      </c>
      <c r="N417">
        <f>tblOrders[[#This Row],[Quantity]]*tblOrders[[#This Row],[UnitCost]]</f>
        <v>18000</v>
      </c>
      <c r="O417">
        <f>tblOrders[[#This Row],[Revenue]]-tblOrders[[#This Row],[Cost]]</f>
        <v>6000</v>
      </c>
      <c r="P417" t="str">
        <f>TEXT(tblOrders[[#This Row],[OrderDate]],"mmm")</f>
        <v>Aug</v>
      </c>
    </row>
    <row r="418" spans="1:16" x14ac:dyDescent="0.25">
      <c r="A418" t="s">
        <v>954</v>
      </c>
      <c r="B418" s="2">
        <v>45773</v>
      </c>
      <c r="C418" t="s">
        <v>103</v>
      </c>
      <c r="D418" t="s">
        <v>16</v>
      </c>
      <c r="E418" t="s">
        <v>33</v>
      </c>
      <c r="F418" t="s">
        <v>64</v>
      </c>
      <c r="G418">
        <v>3</v>
      </c>
      <c r="H418">
        <v>500</v>
      </c>
      <c r="I418">
        <v>0</v>
      </c>
      <c r="J418" t="str">
        <f>_xlfn.XLOOKUP(tblOrders[[#This Row],[ProductID]],Products!$A$2:$A$9,Products!$B$2:$B$9,"Unknown")</f>
        <v>Mouse</v>
      </c>
      <c r="K418" t="str">
        <f>_xlfn.XLOOKUP(tblOrders[[#This Row],[ProductID]],Products!$A$2:$A$9,Products!$C$2:$C$9,"Unknown")</f>
        <v>Accessories</v>
      </c>
      <c r="L418">
        <f>_xlfn.XLOOKUP(tblOrders[[#This Row],[ProductID]],Products!$A$2:$A$9,Products!$D$2:$D$9,0)</f>
        <v>320</v>
      </c>
      <c r="M418">
        <f>tblOrders[[#This Row],[Quantity]]*tblOrders[[#This Row],[UnitPrice]]*(1-tblOrders[[#This Row],[Discount]])</f>
        <v>1500</v>
      </c>
      <c r="N418">
        <f>tblOrders[[#This Row],[Quantity]]*tblOrders[[#This Row],[UnitCost]]</f>
        <v>960</v>
      </c>
      <c r="O418">
        <f>tblOrders[[#This Row],[Revenue]]-tblOrders[[#This Row],[Cost]]</f>
        <v>540</v>
      </c>
      <c r="P418" t="str">
        <f>TEXT(tblOrders[[#This Row],[OrderDate]],"mmm")</f>
        <v>Apr</v>
      </c>
    </row>
    <row r="419" spans="1:16" x14ac:dyDescent="0.25">
      <c r="A419" t="s">
        <v>914</v>
      </c>
      <c r="B419" s="2">
        <v>45679</v>
      </c>
      <c r="C419" t="s">
        <v>85</v>
      </c>
      <c r="D419" t="s">
        <v>11</v>
      </c>
      <c r="E419" t="s">
        <v>12</v>
      </c>
      <c r="F419" t="s">
        <v>55</v>
      </c>
      <c r="G419">
        <v>3</v>
      </c>
      <c r="H419">
        <v>8000</v>
      </c>
      <c r="I419">
        <v>0.15</v>
      </c>
      <c r="J419" t="str">
        <f>_xlfn.XLOOKUP(tblOrders[[#This Row],[ProductID]],Products!$A$2:$A$9,Products!$B$2:$B$9,"Unknown")</f>
        <v>Printer</v>
      </c>
      <c r="K419" t="str">
        <f>_xlfn.XLOOKUP(tblOrders[[#This Row],[ProductID]],Products!$A$2:$A$9,Products!$C$2:$C$9,"Unknown")</f>
        <v>Electronics</v>
      </c>
      <c r="L419">
        <f>_xlfn.XLOOKUP(tblOrders[[#This Row],[ProductID]],Products!$A$2:$A$9,Products!$D$2:$D$9,0)</f>
        <v>6200</v>
      </c>
      <c r="M419">
        <f>tblOrders[[#This Row],[Quantity]]*tblOrders[[#This Row],[UnitPrice]]*(1-tblOrders[[#This Row],[Discount]])</f>
        <v>20400</v>
      </c>
      <c r="N419">
        <f>tblOrders[[#This Row],[Quantity]]*tblOrders[[#This Row],[UnitCost]]</f>
        <v>18600</v>
      </c>
      <c r="O419">
        <f>tblOrders[[#This Row],[Revenue]]-tblOrders[[#This Row],[Cost]]</f>
        <v>1800</v>
      </c>
      <c r="P419" t="str">
        <f>TEXT(tblOrders[[#This Row],[OrderDate]],"mmm")</f>
        <v>Jan</v>
      </c>
    </row>
    <row r="420" spans="1:16" x14ac:dyDescent="0.25">
      <c r="A420" t="s">
        <v>471</v>
      </c>
      <c r="B420" s="2">
        <v>46000</v>
      </c>
      <c r="C420" t="s">
        <v>261</v>
      </c>
      <c r="D420" t="s">
        <v>39</v>
      </c>
      <c r="E420" t="s">
        <v>76</v>
      </c>
      <c r="F420" t="s">
        <v>64</v>
      </c>
      <c r="G420">
        <v>6</v>
      </c>
      <c r="H420">
        <v>500</v>
      </c>
      <c r="I420">
        <v>0.15</v>
      </c>
      <c r="J420" t="str">
        <f>_xlfn.XLOOKUP(tblOrders[[#This Row],[ProductID]],Products!$A$2:$A$9,Products!$B$2:$B$9,"Unknown")</f>
        <v>Mouse</v>
      </c>
      <c r="K420" t="str">
        <f>_xlfn.XLOOKUP(tblOrders[[#This Row],[ProductID]],Products!$A$2:$A$9,Products!$C$2:$C$9,"Unknown")</f>
        <v>Accessories</v>
      </c>
      <c r="L420">
        <f>_xlfn.XLOOKUP(tblOrders[[#This Row],[ProductID]],Products!$A$2:$A$9,Products!$D$2:$D$9,0)</f>
        <v>320</v>
      </c>
      <c r="M420">
        <f>tblOrders[[#This Row],[Quantity]]*tblOrders[[#This Row],[UnitPrice]]*(1-tblOrders[[#This Row],[Discount]])</f>
        <v>2550</v>
      </c>
      <c r="N420">
        <f>tblOrders[[#This Row],[Quantity]]*tblOrders[[#This Row],[UnitCost]]</f>
        <v>1920</v>
      </c>
      <c r="O420">
        <f>tblOrders[[#This Row],[Revenue]]-tblOrders[[#This Row],[Cost]]</f>
        <v>630</v>
      </c>
      <c r="P420" t="str">
        <f>TEXT(tblOrders[[#This Row],[OrderDate]],"mmm")</f>
        <v>Dec</v>
      </c>
    </row>
    <row r="421" spans="1:16" x14ac:dyDescent="0.25">
      <c r="A421" t="s">
        <v>593</v>
      </c>
      <c r="B421" s="2">
        <v>45732</v>
      </c>
      <c r="C421" t="s">
        <v>85</v>
      </c>
      <c r="D421" t="s">
        <v>21</v>
      </c>
      <c r="E421" t="s">
        <v>22</v>
      </c>
      <c r="F421" t="s">
        <v>69</v>
      </c>
      <c r="G421">
        <v>12</v>
      </c>
      <c r="H421">
        <v>12000</v>
      </c>
      <c r="I421">
        <v>0</v>
      </c>
      <c r="J421" t="str">
        <f>_xlfn.XLOOKUP(tblOrders[[#This Row],[ProductID]],Products!$A$2:$A$9,Products!$B$2:$B$9,"Unknown")</f>
        <v>Monitor</v>
      </c>
      <c r="K421" t="str">
        <f>_xlfn.XLOOKUP(tblOrders[[#This Row],[ProductID]],Products!$A$2:$A$9,Products!$C$2:$C$9,"Unknown")</f>
        <v>Electronics</v>
      </c>
      <c r="L421">
        <f>_xlfn.XLOOKUP(tblOrders[[#This Row],[ProductID]],Products!$A$2:$A$9,Products!$D$2:$D$9,0)</f>
        <v>9000</v>
      </c>
      <c r="M421">
        <f>tblOrders[[#This Row],[Quantity]]*tblOrders[[#This Row],[UnitPrice]]*(1-tblOrders[[#This Row],[Discount]])</f>
        <v>144000</v>
      </c>
      <c r="N421">
        <f>tblOrders[[#This Row],[Quantity]]*tblOrders[[#This Row],[UnitCost]]</f>
        <v>108000</v>
      </c>
      <c r="O421">
        <f>tblOrders[[#This Row],[Revenue]]-tblOrders[[#This Row],[Cost]]</f>
        <v>36000</v>
      </c>
      <c r="P421" t="str">
        <f>TEXT(tblOrders[[#This Row],[OrderDate]],"mmm")</f>
        <v>Mar</v>
      </c>
    </row>
    <row r="422" spans="1:16" x14ac:dyDescent="0.25">
      <c r="A422" t="s">
        <v>955</v>
      </c>
      <c r="B422" s="2">
        <v>45721</v>
      </c>
      <c r="C422" t="s">
        <v>261</v>
      </c>
      <c r="D422" t="s">
        <v>16</v>
      </c>
      <c r="E422" t="s">
        <v>33</v>
      </c>
      <c r="F422" t="s">
        <v>64</v>
      </c>
      <c r="G422">
        <v>3</v>
      </c>
      <c r="H422">
        <v>500</v>
      </c>
      <c r="I422">
        <v>0.1</v>
      </c>
      <c r="J422" t="str">
        <f>_xlfn.XLOOKUP(tblOrders[[#This Row],[ProductID]],Products!$A$2:$A$9,Products!$B$2:$B$9,"Unknown")</f>
        <v>Mouse</v>
      </c>
      <c r="K422" t="str">
        <f>_xlfn.XLOOKUP(tblOrders[[#This Row],[ProductID]],Products!$A$2:$A$9,Products!$C$2:$C$9,"Unknown")</f>
        <v>Accessories</v>
      </c>
      <c r="L422">
        <f>_xlfn.XLOOKUP(tblOrders[[#This Row],[ProductID]],Products!$A$2:$A$9,Products!$D$2:$D$9,0)</f>
        <v>320</v>
      </c>
      <c r="M422">
        <f>tblOrders[[#This Row],[Quantity]]*tblOrders[[#This Row],[UnitPrice]]*(1-tblOrders[[#This Row],[Discount]])</f>
        <v>1350</v>
      </c>
      <c r="N422">
        <f>tblOrders[[#This Row],[Quantity]]*tblOrders[[#This Row],[UnitCost]]</f>
        <v>960</v>
      </c>
      <c r="O422">
        <f>tblOrders[[#This Row],[Revenue]]-tblOrders[[#This Row],[Cost]]</f>
        <v>390</v>
      </c>
      <c r="P422" t="str">
        <f>TEXT(tblOrders[[#This Row],[OrderDate]],"mmm")</f>
        <v>Mar</v>
      </c>
    </row>
    <row r="423" spans="1:16" x14ac:dyDescent="0.25">
      <c r="A423" t="s">
        <v>546</v>
      </c>
      <c r="B423" s="2">
        <v>45927</v>
      </c>
      <c r="C423" t="s">
        <v>52</v>
      </c>
      <c r="D423" t="s">
        <v>39</v>
      </c>
      <c r="E423" t="s">
        <v>40</v>
      </c>
      <c r="F423" t="s">
        <v>23</v>
      </c>
      <c r="G423">
        <v>2</v>
      </c>
      <c r="H423">
        <v>900</v>
      </c>
      <c r="I423">
        <v>0</v>
      </c>
      <c r="J423" t="str">
        <f>_xlfn.XLOOKUP(tblOrders[[#This Row],[ProductID]],Products!$A$2:$A$9,Products!$B$2:$B$9,"Unknown")</f>
        <v>Keyboard</v>
      </c>
      <c r="K423" t="str">
        <f>_xlfn.XLOOKUP(tblOrders[[#This Row],[ProductID]],Products!$A$2:$A$9,Products!$C$2:$C$9,"Unknown")</f>
        <v>Accessories</v>
      </c>
      <c r="L423">
        <f>_xlfn.XLOOKUP(tblOrders[[#This Row],[ProductID]],Products!$A$2:$A$9,Products!$D$2:$D$9,0)</f>
        <v>600</v>
      </c>
      <c r="M423">
        <f>tblOrders[[#This Row],[Quantity]]*tblOrders[[#This Row],[UnitPrice]]*(1-tblOrders[[#This Row],[Discount]])</f>
        <v>1800</v>
      </c>
      <c r="N423">
        <f>tblOrders[[#This Row],[Quantity]]*tblOrders[[#This Row],[UnitCost]]</f>
        <v>1200</v>
      </c>
      <c r="O423">
        <f>tblOrders[[#This Row],[Revenue]]-tblOrders[[#This Row],[Cost]]</f>
        <v>600</v>
      </c>
      <c r="P423" t="str">
        <f>TEXT(tblOrders[[#This Row],[OrderDate]],"mmm")</f>
        <v>Sep</v>
      </c>
    </row>
    <row r="424" spans="1:16" x14ac:dyDescent="0.25">
      <c r="A424" t="s">
        <v>281</v>
      </c>
      <c r="B424" s="2">
        <v>45666</v>
      </c>
      <c r="C424" t="s">
        <v>151</v>
      </c>
      <c r="D424" t="s">
        <v>21</v>
      </c>
      <c r="E424" t="s">
        <v>22</v>
      </c>
      <c r="F424" t="s">
        <v>23</v>
      </c>
      <c r="G424">
        <v>13</v>
      </c>
      <c r="H424">
        <v>900</v>
      </c>
      <c r="I424">
        <v>0.15</v>
      </c>
      <c r="J424" t="str">
        <f>_xlfn.XLOOKUP(tblOrders[[#This Row],[ProductID]],Products!$A$2:$A$9,Products!$B$2:$B$9,"Unknown")</f>
        <v>Keyboard</v>
      </c>
      <c r="K424" t="str">
        <f>_xlfn.XLOOKUP(tblOrders[[#This Row],[ProductID]],Products!$A$2:$A$9,Products!$C$2:$C$9,"Unknown")</f>
        <v>Accessories</v>
      </c>
      <c r="L424">
        <f>_xlfn.XLOOKUP(tblOrders[[#This Row],[ProductID]],Products!$A$2:$A$9,Products!$D$2:$D$9,0)</f>
        <v>600</v>
      </c>
      <c r="M424">
        <f>tblOrders[[#This Row],[Quantity]]*tblOrders[[#This Row],[UnitPrice]]*(1-tblOrders[[#This Row],[Discount]])</f>
        <v>9945</v>
      </c>
      <c r="N424">
        <f>tblOrders[[#This Row],[Quantity]]*tblOrders[[#This Row],[UnitCost]]</f>
        <v>7800</v>
      </c>
      <c r="O424">
        <f>tblOrders[[#This Row],[Revenue]]-tblOrders[[#This Row],[Cost]]</f>
        <v>2145</v>
      </c>
      <c r="P424" t="str">
        <f>TEXT(tblOrders[[#This Row],[OrderDate]],"mmm")</f>
        <v>Jan</v>
      </c>
    </row>
    <row r="425" spans="1:16" x14ac:dyDescent="0.25">
      <c r="A425" t="s">
        <v>338</v>
      </c>
      <c r="B425" s="2">
        <v>45740</v>
      </c>
      <c r="C425" t="s">
        <v>229</v>
      </c>
      <c r="D425" t="s">
        <v>16</v>
      </c>
      <c r="E425" t="s">
        <v>33</v>
      </c>
      <c r="F425" t="s">
        <v>18</v>
      </c>
      <c r="G425">
        <v>5</v>
      </c>
      <c r="H425">
        <v>18000</v>
      </c>
      <c r="I425">
        <v>0.05</v>
      </c>
      <c r="J425" t="str">
        <f>_xlfn.XLOOKUP(tblOrders[[#This Row],[ProductID]],Products!$A$2:$A$9,Products!$B$2:$B$9,"Unknown")</f>
        <v>Tablet</v>
      </c>
      <c r="K425" t="str">
        <f>_xlfn.XLOOKUP(tblOrders[[#This Row],[ProductID]],Products!$A$2:$A$9,Products!$C$2:$C$9,"Unknown")</f>
        <v>Electronics</v>
      </c>
      <c r="L425">
        <f>_xlfn.XLOOKUP(tblOrders[[#This Row],[ProductID]],Products!$A$2:$A$9,Products!$D$2:$D$9,0)</f>
        <v>13500</v>
      </c>
      <c r="M425">
        <f>tblOrders[[#This Row],[Quantity]]*tblOrders[[#This Row],[UnitPrice]]*(1-tblOrders[[#This Row],[Discount]])</f>
        <v>85500</v>
      </c>
      <c r="N425">
        <f>tblOrders[[#This Row],[Quantity]]*tblOrders[[#This Row],[UnitCost]]</f>
        <v>67500</v>
      </c>
      <c r="O425">
        <f>tblOrders[[#This Row],[Revenue]]-tblOrders[[#This Row],[Cost]]</f>
        <v>18000</v>
      </c>
      <c r="P425" t="str">
        <f>TEXT(tblOrders[[#This Row],[OrderDate]],"mmm")</f>
        <v>Mar</v>
      </c>
    </row>
    <row r="426" spans="1:16" x14ac:dyDescent="0.25">
      <c r="A426" t="s">
        <v>213</v>
      </c>
      <c r="B426" s="2">
        <v>45837</v>
      </c>
      <c r="C426" t="s">
        <v>103</v>
      </c>
      <c r="D426" t="s">
        <v>39</v>
      </c>
      <c r="E426" t="s">
        <v>76</v>
      </c>
      <c r="F426" t="s">
        <v>43</v>
      </c>
      <c r="G426">
        <v>1</v>
      </c>
      <c r="H426">
        <v>1500</v>
      </c>
      <c r="I426">
        <v>0</v>
      </c>
      <c r="J426" t="str">
        <f>_xlfn.XLOOKUP(tblOrders[[#This Row],[ProductID]],Products!$A$2:$A$9,Products!$B$2:$B$9,"Unknown")</f>
        <v>Webcam</v>
      </c>
      <c r="K426" t="str">
        <f>_xlfn.XLOOKUP(tblOrders[[#This Row],[ProductID]],Products!$A$2:$A$9,Products!$C$2:$C$9,"Unknown")</f>
        <v>Accessories</v>
      </c>
      <c r="L426">
        <f>_xlfn.XLOOKUP(tblOrders[[#This Row],[ProductID]],Products!$A$2:$A$9,Products!$D$2:$D$9,0)</f>
        <v>980</v>
      </c>
      <c r="M426">
        <f>tblOrders[[#This Row],[Quantity]]*tblOrders[[#This Row],[UnitPrice]]*(1-tblOrders[[#This Row],[Discount]])</f>
        <v>1500</v>
      </c>
      <c r="N426">
        <f>tblOrders[[#This Row],[Quantity]]*tblOrders[[#This Row],[UnitCost]]</f>
        <v>980</v>
      </c>
      <c r="O426">
        <f>tblOrders[[#This Row],[Revenue]]-tblOrders[[#This Row],[Cost]]</f>
        <v>520</v>
      </c>
      <c r="P426" t="str">
        <f>TEXT(tblOrders[[#This Row],[OrderDate]],"mmm")</f>
        <v>Jun</v>
      </c>
    </row>
    <row r="427" spans="1:16" x14ac:dyDescent="0.25">
      <c r="A427" t="s">
        <v>517</v>
      </c>
      <c r="B427" s="2">
        <v>46005</v>
      </c>
      <c r="C427" t="s">
        <v>15</v>
      </c>
      <c r="D427" t="s">
        <v>21</v>
      </c>
      <c r="E427" t="s">
        <v>22</v>
      </c>
      <c r="F427" t="s">
        <v>43</v>
      </c>
      <c r="G427">
        <v>13</v>
      </c>
      <c r="H427">
        <v>1500</v>
      </c>
      <c r="I427">
        <v>0.1</v>
      </c>
      <c r="J427" t="str">
        <f>_xlfn.XLOOKUP(tblOrders[[#This Row],[ProductID]],Products!$A$2:$A$9,Products!$B$2:$B$9,"Unknown")</f>
        <v>Webcam</v>
      </c>
      <c r="K427" t="str">
        <f>_xlfn.XLOOKUP(tblOrders[[#This Row],[ProductID]],Products!$A$2:$A$9,Products!$C$2:$C$9,"Unknown")</f>
        <v>Accessories</v>
      </c>
      <c r="L427">
        <f>_xlfn.XLOOKUP(tblOrders[[#This Row],[ProductID]],Products!$A$2:$A$9,Products!$D$2:$D$9,0)</f>
        <v>980</v>
      </c>
      <c r="M427">
        <f>tblOrders[[#This Row],[Quantity]]*tblOrders[[#This Row],[UnitPrice]]*(1-tblOrders[[#This Row],[Discount]])</f>
        <v>17550</v>
      </c>
      <c r="N427">
        <f>tblOrders[[#This Row],[Quantity]]*tblOrders[[#This Row],[UnitCost]]</f>
        <v>12740</v>
      </c>
      <c r="O427">
        <f>tblOrders[[#This Row],[Revenue]]-tblOrders[[#This Row],[Cost]]</f>
        <v>4810</v>
      </c>
      <c r="P427" t="str">
        <f>TEXT(tblOrders[[#This Row],[OrderDate]],"mmm")</f>
        <v>Dec</v>
      </c>
    </row>
    <row r="428" spans="1:16" x14ac:dyDescent="0.25">
      <c r="A428" t="s">
        <v>148</v>
      </c>
      <c r="B428" s="2">
        <v>45802</v>
      </c>
      <c r="C428" t="s">
        <v>149</v>
      </c>
      <c r="D428" t="s">
        <v>11</v>
      </c>
      <c r="E428" t="s">
        <v>12</v>
      </c>
      <c r="F428" t="s">
        <v>34</v>
      </c>
      <c r="G428">
        <v>3</v>
      </c>
      <c r="H428">
        <v>55000</v>
      </c>
      <c r="I428">
        <v>0.05</v>
      </c>
      <c r="J428" t="str">
        <f>_xlfn.XLOOKUP(tblOrders[[#This Row],[ProductID]],Products!$A$2:$A$9,Products!$B$2:$B$9,"Unknown")</f>
        <v>Laptop</v>
      </c>
      <c r="K428" t="str">
        <f>_xlfn.XLOOKUP(tblOrders[[#This Row],[ProductID]],Products!$A$2:$A$9,Products!$C$2:$C$9,"Unknown")</f>
        <v>Electronics</v>
      </c>
      <c r="L428">
        <f>_xlfn.XLOOKUP(tblOrders[[#This Row],[ProductID]],Products!$A$2:$A$9,Products!$D$2:$D$9,0)</f>
        <v>41000</v>
      </c>
      <c r="M428">
        <f>tblOrders[[#This Row],[Quantity]]*tblOrders[[#This Row],[UnitPrice]]*(1-tblOrders[[#This Row],[Discount]])</f>
        <v>156750</v>
      </c>
      <c r="N428">
        <f>tblOrders[[#This Row],[Quantity]]*tblOrders[[#This Row],[UnitCost]]</f>
        <v>123000</v>
      </c>
      <c r="O428">
        <f>tblOrders[[#This Row],[Revenue]]-tblOrders[[#This Row],[Cost]]</f>
        <v>33750</v>
      </c>
      <c r="P428" t="str">
        <f>TEXT(tblOrders[[#This Row],[OrderDate]],"mmm")</f>
        <v>May</v>
      </c>
    </row>
    <row r="429" spans="1:16" x14ac:dyDescent="0.25">
      <c r="A429" t="s">
        <v>629</v>
      </c>
      <c r="B429" s="2">
        <v>45668</v>
      </c>
      <c r="C429" t="s">
        <v>153</v>
      </c>
      <c r="D429" t="s">
        <v>21</v>
      </c>
      <c r="E429" t="s">
        <v>22</v>
      </c>
      <c r="F429" t="s">
        <v>55</v>
      </c>
      <c r="G429">
        <v>7</v>
      </c>
      <c r="H429">
        <v>8000</v>
      </c>
      <c r="I429">
        <v>0.05</v>
      </c>
      <c r="J429" t="str">
        <f>_xlfn.XLOOKUP(tblOrders[[#This Row],[ProductID]],Products!$A$2:$A$9,Products!$B$2:$B$9,"Unknown")</f>
        <v>Printer</v>
      </c>
      <c r="K429" t="str">
        <f>_xlfn.XLOOKUP(tblOrders[[#This Row],[ProductID]],Products!$A$2:$A$9,Products!$C$2:$C$9,"Unknown")</f>
        <v>Electronics</v>
      </c>
      <c r="L429">
        <f>_xlfn.XLOOKUP(tblOrders[[#This Row],[ProductID]],Products!$A$2:$A$9,Products!$D$2:$D$9,0)</f>
        <v>6200</v>
      </c>
      <c r="M429">
        <f>tblOrders[[#This Row],[Quantity]]*tblOrders[[#This Row],[UnitPrice]]*(1-tblOrders[[#This Row],[Discount]])</f>
        <v>53200</v>
      </c>
      <c r="N429">
        <f>tblOrders[[#This Row],[Quantity]]*tblOrders[[#This Row],[UnitCost]]</f>
        <v>43400</v>
      </c>
      <c r="O429">
        <f>tblOrders[[#This Row],[Revenue]]-tblOrders[[#This Row],[Cost]]</f>
        <v>9800</v>
      </c>
      <c r="P429" t="str">
        <f>TEXT(tblOrders[[#This Row],[OrderDate]],"mmm")</f>
        <v>Jan</v>
      </c>
    </row>
    <row r="430" spans="1:16" x14ac:dyDescent="0.25">
      <c r="A430" t="s">
        <v>894</v>
      </c>
      <c r="B430" s="2">
        <v>45896</v>
      </c>
      <c r="C430" t="s">
        <v>132</v>
      </c>
      <c r="D430" t="s">
        <v>21</v>
      </c>
      <c r="E430" t="s">
        <v>28</v>
      </c>
      <c r="F430" t="s">
        <v>69</v>
      </c>
      <c r="G430">
        <v>6</v>
      </c>
      <c r="H430">
        <v>12000</v>
      </c>
      <c r="I430">
        <v>0</v>
      </c>
      <c r="J430" t="str">
        <f>_xlfn.XLOOKUP(tblOrders[[#This Row],[ProductID]],Products!$A$2:$A$9,Products!$B$2:$B$9,"Unknown")</f>
        <v>Monitor</v>
      </c>
      <c r="K430" t="str">
        <f>_xlfn.XLOOKUP(tblOrders[[#This Row],[ProductID]],Products!$A$2:$A$9,Products!$C$2:$C$9,"Unknown")</f>
        <v>Electronics</v>
      </c>
      <c r="L430">
        <f>_xlfn.XLOOKUP(tblOrders[[#This Row],[ProductID]],Products!$A$2:$A$9,Products!$D$2:$D$9,0)</f>
        <v>9000</v>
      </c>
      <c r="M430">
        <f>tblOrders[[#This Row],[Quantity]]*tblOrders[[#This Row],[UnitPrice]]*(1-tblOrders[[#This Row],[Discount]])</f>
        <v>72000</v>
      </c>
      <c r="N430">
        <f>tblOrders[[#This Row],[Quantity]]*tblOrders[[#This Row],[UnitCost]]</f>
        <v>54000</v>
      </c>
      <c r="O430">
        <f>tblOrders[[#This Row],[Revenue]]-tblOrders[[#This Row],[Cost]]</f>
        <v>18000</v>
      </c>
      <c r="P430" t="str">
        <f>TEXT(tblOrders[[#This Row],[OrderDate]],"mmm")</f>
        <v>Aug</v>
      </c>
    </row>
    <row r="431" spans="1:16" x14ac:dyDescent="0.25">
      <c r="A431" t="s">
        <v>708</v>
      </c>
      <c r="B431" s="2">
        <v>45679</v>
      </c>
      <c r="C431" t="s">
        <v>36</v>
      </c>
      <c r="D431" t="s">
        <v>16</v>
      </c>
      <c r="E431" t="s">
        <v>33</v>
      </c>
      <c r="F431" t="s">
        <v>23</v>
      </c>
      <c r="G431">
        <v>14</v>
      </c>
      <c r="H431">
        <v>900</v>
      </c>
      <c r="I431">
        <v>0.1</v>
      </c>
      <c r="J431" t="str">
        <f>_xlfn.XLOOKUP(tblOrders[[#This Row],[ProductID]],Products!$A$2:$A$9,Products!$B$2:$B$9,"Unknown")</f>
        <v>Keyboard</v>
      </c>
      <c r="K431" t="str">
        <f>_xlfn.XLOOKUP(tblOrders[[#This Row],[ProductID]],Products!$A$2:$A$9,Products!$C$2:$C$9,"Unknown")</f>
        <v>Accessories</v>
      </c>
      <c r="L431">
        <f>_xlfn.XLOOKUP(tblOrders[[#This Row],[ProductID]],Products!$A$2:$A$9,Products!$D$2:$D$9,0)</f>
        <v>600</v>
      </c>
      <c r="M431">
        <f>tblOrders[[#This Row],[Quantity]]*tblOrders[[#This Row],[UnitPrice]]*(1-tblOrders[[#This Row],[Discount]])</f>
        <v>11340</v>
      </c>
      <c r="N431">
        <f>tblOrders[[#This Row],[Quantity]]*tblOrders[[#This Row],[UnitCost]]</f>
        <v>8400</v>
      </c>
      <c r="O431">
        <f>tblOrders[[#This Row],[Revenue]]-tblOrders[[#This Row],[Cost]]</f>
        <v>2940</v>
      </c>
      <c r="P431" t="str">
        <f>TEXT(tblOrders[[#This Row],[OrderDate]],"mmm")</f>
        <v>Jan</v>
      </c>
    </row>
    <row r="432" spans="1:16" x14ac:dyDescent="0.25">
      <c r="A432" t="s">
        <v>233</v>
      </c>
      <c r="B432" s="2">
        <v>46010</v>
      </c>
      <c r="C432" t="s">
        <v>27</v>
      </c>
      <c r="D432" t="s">
        <v>39</v>
      </c>
      <c r="E432" t="s">
        <v>40</v>
      </c>
      <c r="F432" t="s">
        <v>23</v>
      </c>
      <c r="G432">
        <v>10</v>
      </c>
      <c r="H432">
        <v>900</v>
      </c>
      <c r="I432">
        <v>0.15</v>
      </c>
      <c r="J432" t="str">
        <f>_xlfn.XLOOKUP(tblOrders[[#This Row],[ProductID]],Products!$A$2:$A$9,Products!$B$2:$B$9,"Unknown")</f>
        <v>Keyboard</v>
      </c>
      <c r="K432" t="str">
        <f>_xlfn.XLOOKUP(tblOrders[[#This Row],[ProductID]],Products!$A$2:$A$9,Products!$C$2:$C$9,"Unknown")</f>
        <v>Accessories</v>
      </c>
      <c r="L432">
        <f>_xlfn.XLOOKUP(tblOrders[[#This Row],[ProductID]],Products!$A$2:$A$9,Products!$D$2:$D$9,0)</f>
        <v>600</v>
      </c>
      <c r="M432">
        <f>tblOrders[[#This Row],[Quantity]]*tblOrders[[#This Row],[UnitPrice]]*(1-tblOrders[[#This Row],[Discount]])</f>
        <v>7650</v>
      </c>
      <c r="N432">
        <f>tblOrders[[#This Row],[Quantity]]*tblOrders[[#This Row],[UnitCost]]</f>
        <v>6000</v>
      </c>
      <c r="O432">
        <f>tblOrders[[#This Row],[Revenue]]-tblOrders[[#This Row],[Cost]]</f>
        <v>1650</v>
      </c>
      <c r="P432" t="str">
        <f>TEXT(tblOrders[[#This Row],[OrderDate]],"mmm")</f>
        <v>Dec</v>
      </c>
    </row>
    <row r="433" spans="1:16" x14ac:dyDescent="0.25">
      <c r="A433" t="s">
        <v>788</v>
      </c>
      <c r="B433" s="2">
        <v>45840</v>
      </c>
      <c r="C433" t="s">
        <v>82</v>
      </c>
      <c r="D433" t="s">
        <v>11</v>
      </c>
      <c r="E433" t="s">
        <v>46</v>
      </c>
      <c r="F433" t="s">
        <v>13</v>
      </c>
      <c r="G433">
        <v>7</v>
      </c>
      <c r="H433">
        <v>2000</v>
      </c>
      <c r="I433">
        <v>0.1</v>
      </c>
      <c r="J433" t="str">
        <f>_xlfn.XLOOKUP(tblOrders[[#This Row],[ProductID]],Products!$A$2:$A$9,Products!$B$2:$B$9,"Unknown")</f>
        <v>Headset</v>
      </c>
      <c r="K433" t="str">
        <f>_xlfn.XLOOKUP(tblOrders[[#This Row],[ProductID]],Products!$A$2:$A$9,Products!$C$2:$C$9,"Unknown")</f>
        <v>Accessories</v>
      </c>
      <c r="L433">
        <f>_xlfn.XLOOKUP(tblOrders[[#This Row],[ProductID]],Products!$A$2:$A$9,Products!$D$2:$D$9,0)</f>
        <v>1300</v>
      </c>
      <c r="M433">
        <f>tblOrders[[#This Row],[Quantity]]*tblOrders[[#This Row],[UnitPrice]]*(1-tblOrders[[#This Row],[Discount]])</f>
        <v>12600</v>
      </c>
      <c r="N433">
        <f>tblOrders[[#This Row],[Quantity]]*tblOrders[[#This Row],[UnitCost]]</f>
        <v>9100</v>
      </c>
      <c r="O433">
        <f>tblOrders[[#This Row],[Revenue]]-tblOrders[[#This Row],[Cost]]</f>
        <v>3500</v>
      </c>
      <c r="P433" t="str">
        <f>TEXT(tblOrders[[#This Row],[OrderDate]],"mmm")</f>
        <v>Jul</v>
      </c>
    </row>
    <row r="434" spans="1:16" x14ac:dyDescent="0.25">
      <c r="A434" t="s">
        <v>79</v>
      </c>
      <c r="B434" s="2">
        <v>45789</v>
      </c>
      <c r="C434" t="s">
        <v>80</v>
      </c>
      <c r="D434" t="s">
        <v>16</v>
      </c>
      <c r="E434" t="s">
        <v>17</v>
      </c>
      <c r="F434" t="s">
        <v>43</v>
      </c>
      <c r="G434">
        <v>4</v>
      </c>
      <c r="H434">
        <v>1500</v>
      </c>
      <c r="I434">
        <v>0.15</v>
      </c>
      <c r="J434" t="str">
        <f>_xlfn.XLOOKUP(tblOrders[[#This Row],[ProductID]],Products!$A$2:$A$9,Products!$B$2:$B$9,"Unknown")</f>
        <v>Webcam</v>
      </c>
      <c r="K434" t="str">
        <f>_xlfn.XLOOKUP(tblOrders[[#This Row],[ProductID]],Products!$A$2:$A$9,Products!$C$2:$C$9,"Unknown")</f>
        <v>Accessories</v>
      </c>
      <c r="L434">
        <f>_xlfn.XLOOKUP(tblOrders[[#This Row],[ProductID]],Products!$A$2:$A$9,Products!$D$2:$D$9,0)</f>
        <v>980</v>
      </c>
      <c r="M434">
        <f>tblOrders[[#This Row],[Quantity]]*tblOrders[[#This Row],[UnitPrice]]*(1-tblOrders[[#This Row],[Discount]])</f>
        <v>5100</v>
      </c>
      <c r="N434">
        <f>tblOrders[[#This Row],[Quantity]]*tblOrders[[#This Row],[UnitCost]]</f>
        <v>3920</v>
      </c>
      <c r="O434">
        <f>tblOrders[[#This Row],[Revenue]]-tblOrders[[#This Row],[Cost]]</f>
        <v>1180</v>
      </c>
      <c r="P434" t="str">
        <f>TEXT(tblOrders[[#This Row],[OrderDate]],"mmm")</f>
        <v>May</v>
      </c>
    </row>
    <row r="435" spans="1:16" x14ac:dyDescent="0.25">
      <c r="A435" t="s">
        <v>419</v>
      </c>
      <c r="B435" s="2">
        <v>45897</v>
      </c>
      <c r="C435" t="s">
        <v>27</v>
      </c>
      <c r="D435" t="s">
        <v>16</v>
      </c>
      <c r="E435" t="s">
        <v>17</v>
      </c>
      <c r="F435" t="s">
        <v>69</v>
      </c>
      <c r="G435">
        <v>15</v>
      </c>
      <c r="H435">
        <v>12000</v>
      </c>
      <c r="I435">
        <v>0.15</v>
      </c>
      <c r="J435" t="str">
        <f>_xlfn.XLOOKUP(tblOrders[[#This Row],[ProductID]],Products!$A$2:$A$9,Products!$B$2:$B$9,"Unknown")</f>
        <v>Monitor</v>
      </c>
      <c r="K435" t="str">
        <f>_xlfn.XLOOKUP(tblOrders[[#This Row],[ProductID]],Products!$A$2:$A$9,Products!$C$2:$C$9,"Unknown")</f>
        <v>Electronics</v>
      </c>
      <c r="L435">
        <f>_xlfn.XLOOKUP(tblOrders[[#This Row],[ProductID]],Products!$A$2:$A$9,Products!$D$2:$D$9,0)</f>
        <v>9000</v>
      </c>
      <c r="M435">
        <f>tblOrders[[#This Row],[Quantity]]*tblOrders[[#This Row],[UnitPrice]]*(1-tblOrders[[#This Row],[Discount]])</f>
        <v>153000</v>
      </c>
      <c r="N435">
        <f>tblOrders[[#This Row],[Quantity]]*tblOrders[[#This Row],[UnitCost]]</f>
        <v>135000</v>
      </c>
      <c r="O435">
        <f>tblOrders[[#This Row],[Revenue]]-tblOrders[[#This Row],[Cost]]</f>
        <v>18000</v>
      </c>
      <c r="P435" t="str">
        <f>TEXT(tblOrders[[#This Row],[OrderDate]],"mmm")</f>
        <v>Aug</v>
      </c>
    </row>
    <row r="436" spans="1:16" x14ac:dyDescent="0.25">
      <c r="A436" t="s">
        <v>340</v>
      </c>
      <c r="B436" s="2">
        <v>45942</v>
      </c>
      <c r="C436" t="s">
        <v>32</v>
      </c>
      <c r="D436" t="s">
        <v>39</v>
      </c>
      <c r="E436" t="s">
        <v>40</v>
      </c>
      <c r="F436" t="s">
        <v>69</v>
      </c>
      <c r="G436">
        <v>12</v>
      </c>
      <c r="H436">
        <v>12000</v>
      </c>
      <c r="I436">
        <v>0</v>
      </c>
      <c r="J436" t="str">
        <f>_xlfn.XLOOKUP(tblOrders[[#This Row],[ProductID]],Products!$A$2:$A$9,Products!$B$2:$B$9,"Unknown")</f>
        <v>Monitor</v>
      </c>
      <c r="K436" t="str">
        <f>_xlfn.XLOOKUP(tblOrders[[#This Row],[ProductID]],Products!$A$2:$A$9,Products!$C$2:$C$9,"Unknown")</f>
        <v>Electronics</v>
      </c>
      <c r="L436">
        <f>_xlfn.XLOOKUP(tblOrders[[#This Row],[ProductID]],Products!$A$2:$A$9,Products!$D$2:$D$9,0)</f>
        <v>9000</v>
      </c>
      <c r="M436">
        <f>tblOrders[[#This Row],[Quantity]]*tblOrders[[#This Row],[UnitPrice]]*(1-tblOrders[[#This Row],[Discount]])</f>
        <v>144000</v>
      </c>
      <c r="N436">
        <f>tblOrders[[#This Row],[Quantity]]*tblOrders[[#This Row],[UnitCost]]</f>
        <v>108000</v>
      </c>
      <c r="O436">
        <f>tblOrders[[#This Row],[Revenue]]-tblOrders[[#This Row],[Cost]]</f>
        <v>36000</v>
      </c>
      <c r="P436" t="str">
        <f>TEXT(tblOrders[[#This Row],[OrderDate]],"mmm")</f>
        <v>Oct</v>
      </c>
    </row>
    <row r="437" spans="1:16" x14ac:dyDescent="0.25">
      <c r="A437" t="s">
        <v>943</v>
      </c>
      <c r="B437" s="2">
        <v>45982</v>
      </c>
      <c r="C437" t="s">
        <v>261</v>
      </c>
      <c r="D437" t="s">
        <v>21</v>
      </c>
      <c r="E437" t="s">
        <v>28</v>
      </c>
      <c r="F437" t="s">
        <v>64</v>
      </c>
      <c r="G437">
        <v>8</v>
      </c>
      <c r="H437">
        <v>500</v>
      </c>
      <c r="I437">
        <v>0.1</v>
      </c>
      <c r="J437" t="str">
        <f>_xlfn.XLOOKUP(tblOrders[[#This Row],[ProductID]],Products!$A$2:$A$9,Products!$B$2:$B$9,"Unknown")</f>
        <v>Mouse</v>
      </c>
      <c r="K437" t="str">
        <f>_xlfn.XLOOKUP(tblOrders[[#This Row],[ProductID]],Products!$A$2:$A$9,Products!$C$2:$C$9,"Unknown")</f>
        <v>Accessories</v>
      </c>
      <c r="L437">
        <f>_xlfn.XLOOKUP(tblOrders[[#This Row],[ProductID]],Products!$A$2:$A$9,Products!$D$2:$D$9,0)</f>
        <v>320</v>
      </c>
      <c r="M437">
        <f>tblOrders[[#This Row],[Quantity]]*tblOrders[[#This Row],[UnitPrice]]*(1-tblOrders[[#This Row],[Discount]])</f>
        <v>3600</v>
      </c>
      <c r="N437">
        <f>tblOrders[[#This Row],[Quantity]]*tblOrders[[#This Row],[UnitCost]]</f>
        <v>2560</v>
      </c>
      <c r="O437">
        <f>tblOrders[[#This Row],[Revenue]]-tblOrders[[#This Row],[Cost]]</f>
        <v>1040</v>
      </c>
      <c r="P437" t="str">
        <f>TEXT(tblOrders[[#This Row],[OrderDate]],"mmm")</f>
        <v>Nov</v>
      </c>
    </row>
    <row r="438" spans="1:16" x14ac:dyDescent="0.25">
      <c r="A438" t="s">
        <v>481</v>
      </c>
      <c r="B438" s="2">
        <v>45921</v>
      </c>
      <c r="C438" t="s">
        <v>15</v>
      </c>
      <c r="D438" t="s">
        <v>39</v>
      </c>
      <c r="E438" t="s">
        <v>76</v>
      </c>
      <c r="F438" t="s">
        <v>34</v>
      </c>
      <c r="G438">
        <v>11</v>
      </c>
      <c r="H438">
        <v>55000</v>
      </c>
      <c r="I438">
        <v>0.05</v>
      </c>
      <c r="J438" t="str">
        <f>_xlfn.XLOOKUP(tblOrders[[#This Row],[ProductID]],Products!$A$2:$A$9,Products!$B$2:$B$9,"Unknown")</f>
        <v>Laptop</v>
      </c>
      <c r="K438" t="str">
        <f>_xlfn.XLOOKUP(tblOrders[[#This Row],[ProductID]],Products!$A$2:$A$9,Products!$C$2:$C$9,"Unknown")</f>
        <v>Electronics</v>
      </c>
      <c r="L438">
        <f>_xlfn.XLOOKUP(tblOrders[[#This Row],[ProductID]],Products!$A$2:$A$9,Products!$D$2:$D$9,0)</f>
        <v>41000</v>
      </c>
      <c r="M438">
        <f>tblOrders[[#This Row],[Quantity]]*tblOrders[[#This Row],[UnitPrice]]*(1-tblOrders[[#This Row],[Discount]])</f>
        <v>574750</v>
      </c>
      <c r="N438">
        <f>tblOrders[[#This Row],[Quantity]]*tblOrders[[#This Row],[UnitCost]]</f>
        <v>451000</v>
      </c>
      <c r="O438">
        <f>tblOrders[[#This Row],[Revenue]]-tblOrders[[#This Row],[Cost]]</f>
        <v>123750</v>
      </c>
      <c r="P438" t="str">
        <f>TEXT(tblOrders[[#This Row],[OrderDate]],"mmm")</f>
        <v>Sep</v>
      </c>
    </row>
    <row r="439" spans="1:16" x14ac:dyDescent="0.25">
      <c r="A439" t="s">
        <v>570</v>
      </c>
      <c r="B439" s="2">
        <v>45912</v>
      </c>
      <c r="C439" t="s">
        <v>50</v>
      </c>
      <c r="D439" t="s">
        <v>39</v>
      </c>
      <c r="E439" t="s">
        <v>76</v>
      </c>
      <c r="F439" t="s">
        <v>34</v>
      </c>
      <c r="G439">
        <v>2</v>
      </c>
      <c r="H439">
        <v>55000</v>
      </c>
      <c r="I439">
        <v>0</v>
      </c>
      <c r="J439" t="str">
        <f>_xlfn.XLOOKUP(tblOrders[[#This Row],[ProductID]],Products!$A$2:$A$9,Products!$B$2:$B$9,"Unknown")</f>
        <v>Laptop</v>
      </c>
      <c r="K439" t="str">
        <f>_xlfn.XLOOKUP(tblOrders[[#This Row],[ProductID]],Products!$A$2:$A$9,Products!$C$2:$C$9,"Unknown")</f>
        <v>Electronics</v>
      </c>
      <c r="L439">
        <f>_xlfn.XLOOKUP(tblOrders[[#This Row],[ProductID]],Products!$A$2:$A$9,Products!$D$2:$D$9,0)</f>
        <v>41000</v>
      </c>
      <c r="M439">
        <f>tblOrders[[#This Row],[Quantity]]*tblOrders[[#This Row],[UnitPrice]]*(1-tblOrders[[#This Row],[Discount]])</f>
        <v>110000</v>
      </c>
      <c r="N439">
        <f>tblOrders[[#This Row],[Quantity]]*tblOrders[[#This Row],[UnitCost]]</f>
        <v>82000</v>
      </c>
      <c r="O439">
        <f>tblOrders[[#This Row],[Revenue]]-tblOrders[[#This Row],[Cost]]</f>
        <v>28000</v>
      </c>
      <c r="P439" t="str">
        <f>TEXT(tblOrders[[#This Row],[OrderDate]],"mmm")</f>
        <v>Sep</v>
      </c>
    </row>
    <row r="440" spans="1:16" x14ac:dyDescent="0.25">
      <c r="A440" t="s">
        <v>891</v>
      </c>
      <c r="B440" s="2">
        <v>45689</v>
      </c>
      <c r="C440" t="s">
        <v>59</v>
      </c>
      <c r="D440" t="s">
        <v>11</v>
      </c>
      <c r="E440" t="s">
        <v>12</v>
      </c>
      <c r="F440" t="s">
        <v>34</v>
      </c>
      <c r="G440">
        <v>5</v>
      </c>
      <c r="H440">
        <v>55000</v>
      </c>
      <c r="I440">
        <v>0.1</v>
      </c>
      <c r="J440" t="str">
        <f>_xlfn.XLOOKUP(tblOrders[[#This Row],[ProductID]],Products!$A$2:$A$9,Products!$B$2:$B$9,"Unknown")</f>
        <v>Laptop</v>
      </c>
      <c r="K440" t="str">
        <f>_xlfn.XLOOKUP(tblOrders[[#This Row],[ProductID]],Products!$A$2:$A$9,Products!$C$2:$C$9,"Unknown")</f>
        <v>Electronics</v>
      </c>
      <c r="L440">
        <f>_xlfn.XLOOKUP(tblOrders[[#This Row],[ProductID]],Products!$A$2:$A$9,Products!$D$2:$D$9,0)</f>
        <v>41000</v>
      </c>
      <c r="M440">
        <f>tblOrders[[#This Row],[Quantity]]*tblOrders[[#This Row],[UnitPrice]]*(1-tblOrders[[#This Row],[Discount]])</f>
        <v>247500</v>
      </c>
      <c r="N440">
        <f>tblOrders[[#This Row],[Quantity]]*tblOrders[[#This Row],[UnitCost]]</f>
        <v>205000</v>
      </c>
      <c r="O440">
        <f>tblOrders[[#This Row],[Revenue]]-tblOrders[[#This Row],[Cost]]</f>
        <v>42500</v>
      </c>
      <c r="P440" t="str">
        <f>TEXT(tblOrders[[#This Row],[OrderDate]],"mmm")</f>
        <v>Feb</v>
      </c>
    </row>
    <row r="441" spans="1:16" x14ac:dyDescent="0.25">
      <c r="A441" t="s">
        <v>785</v>
      </c>
      <c r="B441" s="2">
        <v>45701</v>
      </c>
      <c r="C441" t="s">
        <v>138</v>
      </c>
      <c r="D441" t="s">
        <v>16</v>
      </c>
      <c r="E441" t="s">
        <v>33</v>
      </c>
      <c r="F441" t="s">
        <v>34</v>
      </c>
      <c r="G441">
        <v>4</v>
      </c>
      <c r="H441">
        <v>55000</v>
      </c>
      <c r="I441">
        <v>0.1</v>
      </c>
      <c r="J441" t="str">
        <f>_xlfn.XLOOKUP(tblOrders[[#This Row],[ProductID]],Products!$A$2:$A$9,Products!$B$2:$B$9,"Unknown")</f>
        <v>Laptop</v>
      </c>
      <c r="K441" t="str">
        <f>_xlfn.XLOOKUP(tblOrders[[#This Row],[ProductID]],Products!$A$2:$A$9,Products!$C$2:$C$9,"Unknown")</f>
        <v>Electronics</v>
      </c>
      <c r="L441">
        <f>_xlfn.XLOOKUP(tblOrders[[#This Row],[ProductID]],Products!$A$2:$A$9,Products!$D$2:$D$9,0)</f>
        <v>41000</v>
      </c>
      <c r="M441">
        <f>tblOrders[[#This Row],[Quantity]]*tblOrders[[#This Row],[UnitPrice]]*(1-tblOrders[[#This Row],[Discount]])</f>
        <v>198000</v>
      </c>
      <c r="N441">
        <f>tblOrders[[#This Row],[Quantity]]*tblOrders[[#This Row],[UnitCost]]</f>
        <v>164000</v>
      </c>
      <c r="O441">
        <f>tblOrders[[#This Row],[Revenue]]-tblOrders[[#This Row],[Cost]]</f>
        <v>34000</v>
      </c>
      <c r="P441" t="str">
        <f>TEXT(tblOrders[[#This Row],[OrderDate]],"mmm")</f>
        <v>Feb</v>
      </c>
    </row>
    <row r="442" spans="1:16" x14ac:dyDescent="0.25">
      <c r="A442" t="s">
        <v>441</v>
      </c>
      <c r="B442" s="2">
        <v>45679</v>
      </c>
      <c r="C442" t="s">
        <v>151</v>
      </c>
      <c r="D442" t="s">
        <v>16</v>
      </c>
      <c r="E442" t="s">
        <v>17</v>
      </c>
      <c r="F442" t="s">
        <v>55</v>
      </c>
      <c r="G442">
        <v>15</v>
      </c>
      <c r="H442">
        <v>8000</v>
      </c>
      <c r="I442">
        <v>0.15</v>
      </c>
      <c r="J442" t="str">
        <f>_xlfn.XLOOKUP(tblOrders[[#This Row],[ProductID]],Products!$A$2:$A$9,Products!$B$2:$B$9,"Unknown")</f>
        <v>Printer</v>
      </c>
      <c r="K442" t="str">
        <f>_xlfn.XLOOKUP(tblOrders[[#This Row],[ProductID]],Products!$A$2:$A$9,Products!$C$2:$C$9,"Unknown")</f>
        <v>Electronics</v>
      </c>
      <c r="L442">
        <f>_xlfn.XLOOKUP(tblOrders[[#This Row],[ProductID]],Products!$A$2:$A$9,Products!$D$2:$D$9,0)</f>
        <v>6200</v>
      </c>
      <c r="M442">
        <f>tblOrders[[#This Row],[Quantity]]*tblOrders[[#This Row],[UnitPrice]]*(1-tblOrders[[#This Row],[Discount]])</f>
        <v>102000</v>
      </c>
      <c r="N442">
        <f>tblOrders[[#This Row],[Quantity]]*tblOrders[[#This Row],[UnitCost]]</f>
        <v>93000</v>
      </c>
      <c r="O442">
        <f>tblOrders[[#This Row],[Revenue]]-tblOrders[[#This Row],[Cost]]</f>
        <v>9000</v>
      </c>
      <c r="P442" t="str">
        <f>TEXT(tblOrders[[#This Row],[OrderDate]],"mmm")</f>
        <v>Jan</v>
      </c>
    </row>
    <row r="443" spans="1:16" x14ac:dyDescent="0.25">
      <c r="A443" t="s">
        <v>215</v>
      </c>
      <c r="B443" s="2">
        <v>45876</v>
      </c>
      <c r="C443" t="s">
        <v>48</v>
      </c>
      <c r="D443" t="s">
        <v>16</v>
      </c>
      <c r="E443" t="s">
        <v>33</v>
      </c>
      <c r="F443" t="s">
        <v>34</v>
      </c>
      <c r="G443">
        <v>2</v>
      </c>
      <c r="H443">
        <v>55000</v>
      </c>
      <c r="I443">
        <v>0.05</v>
      </c>
      <c r="J443" t="str">
        <f>_xlfn.XLOOKUP(tblOrders[[#This Row],[ProductID]],Products!$A$2:$A$9,Products!$B$2:$B$9,"Unknown")</f>
        <v>Laptop</v>
      </c>
      <c r="K443" t="str">
        <f>_xlfn.XLOOKUP(tblOrders[[#This Row],[ProductID]],Products!$A$2:$A$9,Products!$C$2:$C$9,"Unknown")</f>
        <v>Electronics</v>
      </c>
      <c r="L443">
        <f>_xlfn.XLOOKUP(tblOrders[[#This Row],[ProductID]],Products!$A$2:$A$9,Products!$D$2:$D$9,0)</f>
        <v>41000</v>
      </c>
      <c r="M443">
        <f>tblOrders[[#This Row],[Quantity]]*tblOrders[[#This Row],[UnitPrice]]*(1-tblOrders[[#This Row],[Discount]])</f>
        <v>104500</v>
      </c>
      <c r="N443">
        <f>tblOrders[[#This Row],[Quantity]]*tblOrders[[#This Row],[UnitCost]]</f>
        <v>82000</v>
      </c>
      <c r="O443">
        <f>tblOrders[[#This Row],[Revenue]]-tblOrders[[#This Row],[Cost]]</f>
        <v>22500</v>
      </c>
      <c r="P443" t="str">
        <f>TEXT(tblOrders[[#This Row],[OrderDate]],"mmm")</f>
        <v>Aug</v>
      </c>
    </row>
    <row r="444" spans="1:16" x14ac:dyDescent="0.25">
      <c r="A444" t="s">
        <v>518</v>
      </c>
      <c r="B444" s="2">
        <v>45735</v>
      </c>
      <c r="C444" t="s">
        <v>151</v>
      </c>
      <c r="D444" t="s">
        <v>16</v>
      </c>
      <c r="E444" t="s">
        <v>33</v>
      </c>
      <c r="F444" t="s">
        <v>64</v>
      </c>
      <c r="G444">
        <v>14</v>
      </c>
      <c r="H444">
        <v>500</v>
      </c>
      <c r="I444">
        <v>0.15</v>
      </c>
      <c r="J444" t="str">
        <f>_xlfn.XLOOKUP(tblOrders[[#This Row],[ProductID]],Products!$A$2:$A$9,Products!$B$2:$B$9,"Unknown")</f>
        <v>Mouse</v>
      </c>
      <c r="K444" t="str">
        <f>_xlfn.XLOOKUP(tblOrders[[#This Row],[ProductID]],Products!$A$2:$A$9,Products!$C$2:$C$9,"Unknown")</f>
        <v>Accessories</v>
      </c>
      <c r="L444">
        <f>_xlfn.XLOOKUP(tblOrders[[#This Row],[ProductID]],Products!$A$2:$A$9,Products!$D$2:$D$9,0)</f>
        <v>320</v>
      </c>
      <c r="M444">
        <f>tblOrders[[#This Row],[Quantity]]*tblOrders[[#This Row],[UnitPrice]]*(1-tblOrders[[#This Row],[Discount]])</f>
        <v>5950</v>
      </c>
      <c r="N444">
        <f>tblOrders[[#This Row],[Quantity]]*tblOrders[[#This Row],[UnitCost]]</f>
        <v>4480</v>
      </c>
      <c r="O444">
        <f>tblOrders[[#This Row],[Revenue]]-tblOrders[[#This Row],[Cost]]</f>
        <v>1470</v>
      </c>
      <c r="P444" t="str">
        <f>TEXT(tblOrders[[#This Row],[OrderDate]],"mmm")</f>
        <v>Mar</v>
      </c>
    </row>
    <row r="445" spans="1:16" x14ac:dyDescent="0.25">
      <c r="A445" t="s">
        <v>1071</v>
      </c>
      <c r="B445" s="2">
        <v>45758</v>
      </c>
      <c r="C445" t="s">
        <v>207</v>
      </c>
      <c r="D445" t="s">
        <v>11</v>
      </c>
      <c r="E445" t="s">
        <v>12</v>
      </c>
      <c r="F445" t="s">
        <v>43</v>
      </c>
      <c r="G445">
        <v>13</v>
      </c>
      <c r="H445">
        <v>1500</v>
      </c>
      <c r="I445">
        <v>0</v>
      </c>
      <c r="J445" t="str">
        <f>_xlfn.XLOOKUP(tblOrders[[#This Row],[ProductID]],Products!$A$2:$A$9,Products!$B$2:$B$9,"Unknown")</f>
        <v>Webcam</v>
      </c>
      <c r="K445" t="str">
        <f>_xlfn.XLOOKUP(tblOrders[[#This Row],[ProductID]],Products!$A$2:$A$9,Products!$C$2:$C$9,"Unknown")</f>
        <v>Accessories</v>
      </c>
      <c r="L445">
        <f>_xlfn.XLOOKUP(tblOrders[[#This Row],[ProductID]],Products!$A$2:$A$9,Products!$D$2:$D$9,0)</f>
        <v>980</v>
      </c>
      <c r="M445">
        <f>tblOrders[[#This Row],[Quantity]]*tblOrders[[#This Row],[UnitPrice]]*(1-tblOrders[[#This Row],[Discount]])</f>
        <v>19500</v>
      </c>
      <c r="N445">
        <f>tblOrders[[#This Row],[Quantity]]*tblOrders[[#This Row],[UnitCost]]</f>
        <v>12740</v>
      </c>
      <c r="O445">
        <f>tblOrders[[#This Row],[Revenue]]-tblOrders[[#This Row],[Cost]]</f>
        <v>6760</v>
      </c>
      <c r="P445" t="str">
        <f>TEXT(tblOrders[[#This Row],[OrderDate]],"mmm")</f>
        <v>Apr</v>
      </c>
    </row>
    <row r="446" spans="1:16" x14ac:dyDescent="0.25">
      <c r="A446" t="s">
        <v>496</v>
      </c>
      <c r="B446" s="2">
        <v>46008</v>
      </c>
      <c r="C446" t="s">
        <v>63</v>
      </c>
      <c r="D446" t="s">
        <v>11</v>
      </c>
      <c r="E446" t="s">
        <v>12</v>
      </c>
      <c r="F446" t="s">
        <v>23</v>
      </c>
      <c r="G446">
        <v>13</v>
      </c>
      <c r="H446">
        <v>900</v>
      </c>
      <c r="I446">
        <v>0</v>
      </c>
      <c r="J446" t="str">
        <f>_xlfn.XLOOKUP(tblOrders[[#This Row],[ProductID]],Products!$A$2:$A$9,Products!$B$2:$B$9,"Unknown")</f>
        <v>Keyboard</v>
      </c>
      <c r="K446" t="str">
        <f>_xlfn.XLOOKUP(tblOrders[[#This Row],[ProductID]],Products!$A$2:$A$9,Products!$C$2:$C$9,"Unknown")</f>
        <v>Accessories</v>
      </c>
      <c r="L446">
        <f>_xlfn.XLOOKUP(tblOrders[[#This Row],[ProductID]],Products!$A$2:$A$9,Products!$D$2:$D$9,0)</f>
        <v>600</v>
      </c>
      <c r="M446">
        <f>tblOrders[[#This Row],[Quantity]]*tblOrders[[#This Row],[UnitPrice]]*(1-tblOrders[[#This Row],[Discount]])</f>
        <v>11700</v>
      </c>
      <c r="N446">
        <f>tblOrders[[#This Row],[Quantity]]*tblOrders[[#This Row],[UnitCost]]</f>
        <v>7800</v>
      </c>
      <c r="O446">
        <f>tblOrders[[#This Row],[Revenue]]-tblOrders[[#This Row],[Cost]]</f>
        <v>3900</v>
      </c>
      <c r="P446" t="str">
        <f>TEXT(tblOrders[[#This Row],[OrderDate]],"mmm")</f>
        <v>Dec</v>
      </c>
    </row>
    <row r="447" spans="1:16" x14ac:dyDescent="0.25">
      <c r="A447" t="s">
        <v>474</v>
      </c>
      <c r="B447" s="2">
        <v>45718</v>
      </c>
      <c r="C447" t="s">
        <v>10</v>
      </c>
      <c r="D447" t="s">
        <v>39</v>
      </c>
      <c r="E447" t="s">
        <v>40</v>
      </c>
      <c r="F447" t="s">
        <v>23</v>
      </c>
      <c r="G447">
        <v>12</v>
      </c>
      <c r="H447">
        <v>900</v>
      </c>
      <c r="I447">
        <v>0</v>
      </c>
      <c r="J447" t="str">
        <f>_xlfn.XLOOKUP(tblOrders[[#This Row],[ProductID]],Products!$A$2:$A$9,Products!$B$2:$B$9,"Unknown")</f>
        <v>Keyboard</v>
      </c>
      <c r="K447" t="str">
        <f>_xlfn.XLOOKUP(tblOrders[[#This Row],[ProductID]],Products!$A$2:$A$9,Products!$C$2:$C$9,"Unknown")</f>
        <v>Accessories</v>
      </c>
      <c r="L447">
        <f>_xlfn.XLOOKUP(tblOrders[[#This Row],[ProductID]],Products!$A$2:$A$9,Products!$D$2:$D$9,0)</f>
        <v>600</v>
      </c>
      <c r="M447">
        <f>tblOrders[[#This Row],[Quantity]]*tblOrders[[#This Row],[UnitPrice]]*(1-tblOrders[[#This Row],[Discount]])</f>
        <v>10800</v>
      </c>
      <c r="N447">
        <f>tblOrders[[#This Row],[Quantity]]*tblOrders[[#This Row],[UnitCost]]</f>
        <v>7200</v>
      </c>
      <c r="O447">
        <f>tblOrders[[#This Row],[Revenue]]-tblOrders[[#This Row],[Cost]]</f>
        <v>3600</v>
      </c>
      <c r="P447" t="str">
        <f>TEXT(tblOrders[[#This Row],[OrderDate]],"mmm")</f>
        <v>Mar</v>
      </c>
    </row>
    <row r="448" spans="1:16" x14ac:dyDescent="0.25">
      <c r="A448" t="s">
        <v>1014</v>
      </c>
      <c r="B448" s="2">
        <v>45920</v>
      </c>
      <c r="C448" t="s">
        <v>153</v>
      </c>
      <c r="D448" t="s">
        <v>16</v>
      </c>
      <c r="E448" t="s">
        <v>33</v>
      </c>
      <c r="F448" t="s">
        <v>43</v>
      </c>
      <c r="G448">
        <v>13</v>
      </c>
      <c r="H448">
        <v>1500</v>
      </c>
      <c r="I448">
        <v>0.15</v>
      </c>
      <c r="J448" t="str">
        <f>_xlfn.XLOOKUP(tblOrders[[#This Row],[ProductID]],Products!$A$2:$A$9,Products!$B$2:$B$9,"Unknown")</f>
        <v>Webcam</v>
      </c>
      <c r="K448" t="str">
        <f>_xlfn.XLOOKUP(tblOrders[[#This Row],[ProductID]],Products!$A$2:$A$9,Products!$C$2:$C$9,"Unknown")</f>
        <v>Accessories</v>
      </c>
      <c r="L448">
        <f>_xlfn.XLOOKUP(tblOrders[[#This Row],[ProductID]],Products!$A$2:$A$9,Products!$D$2:$D$9,0)</f>
        <v>980</v>
      </c>
      <c r="M448">
        <f>tblOrders[[#This Row],[Quantity]]*tblOrders[[#This Row],[UnitPrice]]*(1-tblOrders[[#This Row],[Discount]])</f>
        <v>16575</v>
      </c>
      <c r="N448">
        <f>tblOrders[[#This Row],[Quantity]]*tblOrders[[#This Row],[UnitCost]]</f>
        <v>12740</v>
      </c>
      <c r="O448">
        <f>tblOrders[[#This Row],[Revenue]]-tblOrders[[#This Row],[Cost]]</f>
        <v>3835</v>
      </c>
      <c r="P448" t="str">
        <f>TEXT(tblOrders[[#This Row],[OrderDate]],"mmm")</f>
        <v>Sep</v>
      </c>
    </row>
    <row r="449" spans="1:16" x14ac:dyDescent="0.25">
      <c r="A449" t="s">
        <v>575</v>
      </c>
      <c r="B449" s="2">
        <v>45987</v>
      </c>
      <c r="C449" t="s">
        <v>32</v>
      </c>
      <c r="D449" t="s">
        <v>21</v>
      </c>
      <c r="E449" t="s">
        <v>28</v>
      </c>
      <c r="F449" t="s">
        <v>69</v>
      </c>
      <c r="G449">
        <v>2</v>
      </c>
      <c r="H449">
        <v>12000</v>
      </c>
      <c r="I449">
        <v>0</v>
      </c>
      <c r="J449" t="str">
        <f>_xlfn.XLOOKUP(tblOrders[[#This Row],[ProductID]],Products!$A$2:$A$9,Products!$B$2:$B$9,"Unknown")</f>
        <v>Monitor</v>
      </c>
      <c r="K449" t="str">
        <f>_xlfn.XLOOKUP(tblOrders[[#This Row],[ProductID]],Products!$A$2:$A$9,Products!$C$2:$C$9,"Unknown")</f>
        <v>Electronics</v>
      </c>
      <c r="L449">
        <f>_xlfn.XLOOKUP(tblOrders[[#This Row],[ProductID]],Products!$A$2:$A$9,Products!$D$2:$D$9,0)</f>
        <v>9000</v>
      </c>
      <c r="M449">
        <f>tblOrders[[#This Row],[Quantity]]*tblOrders[[#This Row],[UnitPrice]]*(1-tblOrders[[#This Row],[Discount]])</f>
        <v>24000</v>
      </c>
      <c r="N449">
        <f>tblOrders[[#This Row],[Quantity]]*tblOrders[[#This Row],[UnitCost]]</f>
        <v>18000</v>
      </c>
      <c r="O449">
        <f>tblOrders[[#This Row],[Revenue]]-tblOrders[[#This Row],[Cost]]</f>
        <v>6000</v>
      </c>
      <c r="P449" t="str">
        <f>TEXT(tblOrders[[#This Row],[OrderDate]],"mmm")</f>
        <v>Nov</v>
      </c>
    </row>
    <row r="450" spans="1:16" x14ac:dyDescent="0.25">
      <c r="A450" t="s">
        <v>444</v>
      </c>
      <c r="B450" s="2">
        <v>45817</v>
      </c>
      <c r="C450" t="s">
        <v>20</v>
      </c>
      <c r="D450" t="s">
        <v>16</v>
      </c>
      <c r="E450" t="s">
        <v>33</v>
      </c>
      <c r="F450" t="s">
        <v>69</v>
      </c>
      <c r="G450">
        <v>10</v>
      </c>
      <c r="H450">
        <v>12000</v>
      </c>
      <c r="I450">
        <v>0.15</v>
      </c>
      <c r="J450" t="str">
        <f>_xlfn.XLOOKUP(tblOrders[[#This Row],[ProductID]],Products!$A$2:$A$9,Products!$B$2:$B$9,"Unknown")</f>
        <v>Monitor</v>
      </c>
      <c r="K450" t="str">
        <f>_xlfn.XLOOKUP(tblOrders[[#This Row],[ProductID]],Products!$A$2:$A$9,Products!$C$2:$C$9,"Unknown")</f>
        <v>Electronics</v>
      </c>
      <c r="L450">
        <f>_xlfn.XLOOKUP(tblOrders[[#This Row],[ProductID]],Products!$A$2:$A$9,Products!$D$2:$D$9,0)</f>
        <v>9000</v>
      </c>
      <c r="M450">
        <f>tblOrders[[#This Row],[Quantity]]*tblOrders[[#This Row],[UnitPrice]]*(1-tblOrders[[#This Row],[Discount]])</f>
        <v>102000</v>
      </c>
      <c r="N450">
        <f>tblOrders[[#This Row],[Quantity]]*tblOrders[[#This Row],[UnitCost]]</f>
        <v>90000</v>
      </c>
      <c r="O450">
        <f>tblOrders[[#This Row],[Revenue]]-tblOrders[[#This Row],[Cost]]</f>
        <v>12000</v>
      </c>
      <c r="P450" t="str">
        <f>TEXT(tblOrders[[#This Row],[OrderDate]],"mmm")</f>
        <v>Jun</v>
      </c>
    </row>
    <row r="451" spans="1:16" x14ac:dyDescent="0.25">
      <c r="A451" t="s">
        <v>764</v>
      </c>
      <c r="B451" s="2">
        <v>46020</v>
      </c>
      <c r="C451" t="s">
        <v>20</v>
      </c>
      <c r="D451" t="s">
        <v>11</v>
      </c>
      <c r="E451" t="s">
        <v>46</v>
      </c>
      <c r="F451" t="s">
        <v>34</v>
      </c>
      <c r="G451">
        <v>7</v>
      </c>
      <c r="H451">
        <v>55000</v>
      </c>
      <c r="I451">
        <v>0.05</v>
      </c>
      <c r="J451" t="str">
        <f>_xlfn.XLOOKUP(tblOrders[[#This Row],[ProductID]],Products!$A$2:$A$9,Products!$B$2:$B$9,"Unknown")</f>
        <v>Laptop</v>
      </c>
      <c r="K451" t="str">
        <f>_xlfn.XLOOKUP(tblOrders[[#This Row],[ProductID]],Products!$A$2:$A$9,Products!$C$2:$C$9,"Unknown")</f>
        <v>Electronics</v>
      </c>
      <c r="L451">
        <f>_xlfn.XLOOKUP(tblOrders[[#This Row],[ProductID]],Products!$A$2:$A$9,Products!$D$2:$D$9,0)</f>
        <v>41000</v>
      </c>
      <c r="M451">
        <f>tblOrders[[#This Row],[Quantity]]*tblOrders[[#This Row],[UnitPrice]]*(1-tblOrders[[#This Row],[Discount]])</f>
        <v>365750</v>
      </c>
      <c r="N451">
        <f>tblOrders[[#This Row],[Quantity]]*tblOrders[[#This Row],[UnitCost]]</f>
        <v>287000</v>
      </c>
      <c r="O451">
        <f>tblOrders[[#This Row],[Revenue]]-tblOrders[[#This Row],[Cost]]</f>
        <v>78750</v>
      </c>
      <c r="P451" t="str">
        <f>TEXT(tblOrders[[#This Row],[OrderDate]],"mmm")</f>
        <v>Dec</v>
      </c>
    </row>
    <row r="452" spans="1:16" x14ac:dyDescent="0.25">
      <c r="A452" t="s">
        <v>654</v>
      </c>
      <c r="B452" s="2">
        <v>45659</v>
      </c>
      <c r="C452" t="s">
        <v>333</v>
      </c>
      <c r="D452" t="s">
        <v>16</v>
      </c>
      <c r="E452" t="s">
        <v>33</v>
      </c>
      <c r="F452" t="s">
        <v>43</v>
      </c>
      <c r="G452">
        <v>11</v>
      </c>
      <c r="H452">
        <v>1500</v>
      </c>
      <c r="I452">
        <v>0.05</v>
      </c>
      <c r="J452" t="str">
        <f>_xlfn.XLOOKUP(tblOrders[[#This Row],[ProductID]],Products!$A$2:$A$9,Products!$B$2:$B$9,"Unknown")</f>
        <v>Webcam</v>
      </c>
      <c r="K452" t="str">
        <f>_xlfn.XLOOKUP(tblOrders[[#This Row],[ProductID]],Products!$A$2:$A$9,Products!$C$2:$C$9,"Unknown")</f>
        <v>Accessories</v>
      </c>
      <c r="L452">
        <f>_xlfn.XLOOKUP(tblOrders[[#This Row],[ProductID]],Products!$A$2:$A$9,Products!$D$2:$D$9,0)</f>
        <v>980</v>
      </c>
      <c r="M452">
        <f>tblOrders[[#This Row],[Quantity]]*tblOrders[[#This Row],[UnitPrice]]*(1-tblOrders[[#This Row],[Discount]])</f>
        <v>15675</v>
      </c>
      <c r="N452">
        <f>tblOrders[[#This Row],[Quantity]]*tblOrders[[#This Row],[UnitCost]]</f>
        <v>10780</v>
      </c>
      <c r="O452">
        <f>tblOrders[[#This Row],[Revenue]]-tblOrders[[#This Row],[Cost]]</f>
        <v>4895</v>
      </c>
      <c r="P452" t="str">
        <f>TEXT(tblOrders[[#This Row],[OrderDate]],"mmm")</f>
        <v>Jan</v>
      </c>
    </row>
    <row r="453" spans="1:16" x14ac:dyDescent="0.25">
      <c r="A453" t="s">
        <v>906</v>
      </c>
      <c r="B453" s="2">
        <v>46022</v>
      </c>
      <c r="C453" t="s">
        <v>50</v>
      </c>
      <c r="D453" t="s">
        <v>16</v>
      </c>
      <c r="E453" t="s">
        <v>17</v>
      </c>
      <c r="F453" t="s">
        <v>34</v>
      </c>
      <c r="G453">
        <v>1</v>
      </c>
      <c r="H453">
        <v>55000</v>
      </c>
      <c r="I453">
        <v>0</v>
      </c>
      <c r="J453" t="str">
        <f>_xlfn.XLOOKUP(tblOrders[[#This Row],[ProductID]],Products!$A$2:$A$9,Products!$B$2:$B$9,"Unknown")</f>
        <v>Laptop</v>
      </c>
      <c r="K453" t="str">
        <f>_xlfn.XLOOKUP(tblOrders[[#This Row],[ProductID]],Products!$A$2:$A$9,Products!$C$2:$C$9,"Unknown")</f>
        <v>Electronics</v>
      </c>
      <c r="L453">
        <f>_xlfn.XLOOKUP(tblOrders[[#This Row],[ProductID]],Products!$A$2:$A$9,Products!$D$2:$D$9,0)</f>
        <v>41000</v>
      </c>
      <c r="M453">
        <f>tblOrders[[#This Row],[Quantity]]*tblOrders[[#This Row],[UnitPrice]]*(1-tblOrders[[#This Row],[Discount]])</f>
        <v>55000</v>
      </c>
      <c r="N453">
        <f>tblOrders[[#This Row],[Quantity]]*tblOrders[[#This Row],[UnitCost]]</f>
        <v>41000</v>
      </c>
      <c r="O453">
        <f>tblOrders[[#This Row],[Revenue]]-tblOrders[[#This Row],[Cost]]</f>
        <v>14000</v>
      </c>
      <c r="P453" t="str">
        <f>TEXT(tblOrders[[#This Row],[OrderDate]],"mmm")</f>
        <v>Dec</v>
      </c>
    </row>
    <row r="454" spans="1:16" x14ac:dyDescent="0.25">
      <c r="A454" t="s">
        <v>128</v>
      </c>
      <c r="B454" s="2">
        <v>45776</v>
      </c>
      <c r="C454" t="s">
        <v>27</v>
      </c>
      <c r="D454" t="s">
        <v>21</v>
      </c>
      <c r="E454" t="s">
        <v>28</v>
      </c>
      <c r="F454" t="s">
        <v>69</v>
      </c>
      <c r="G454">
        <v>9</v>
      </c>
      <c r="H454">
        <v>12000</v>
      </c>
      <c r="I454">
        <v>0.05</v>
      </c>
      <c r="J454" t="str">
        <f>_xlfn.XLOOKUP(tblOrders[[#This Row],[ProductID]],Products!$A$2:$A$9,Products!$B$2:$B$9,"Unknown")</f>
        <v>Monitor</v>
      </c>
      <c r="K454" t="str">
        <f>_xlfn.XLOOKUP(tblOrders[[#This Row],[ProductID]],Products!$A$2:$A$9,Products!$C$2:$C$9,"Unknown")</f>
        <v>Electronics</v>
      </c>
      <c r="L454">
        <f>_xlfn.XLOOKUP(tblOrders[[#This Row],[ProductID]],Products!$A$2:$A$9,Products!$D$2:$D$9,0)</f>
        <v>9000</v>
      </c>
      <c r="M454">
        <f>tblOrders[[#This Row],[Quantity]]*tblOrders[[#This Row],[UnitPrice]]*(1-tblOrders[[#This Row],[Discount]])</f>
        <v>102600</v>
      </c>
      <c r="N454">
        <f>tblOrders[[#This Row],[Quantity]]*tblOrders[[#This Row],[UnitCost]]</f>
        <v>81000</v>
      </c>
      <c r="O454">
        <f>tblOrders[[#This Row],[Revenue]]-tblOrders[[#This Row],[Cost]]</f>
        <v>21600</v>
      </c>
      <c r="P454" t="str">
        <f>TEXT(tblOrders[[#This Row],[OrderDate]],"mmm")</f>
        <v>Apr</v>
      </c>
    </row>
    <row r="455" spans="1:16" x14ac:dyDescent="0.25">
      <c r="A455" t="s">
        <v>502</v>
      </c>
      <c r="B455" s="2">
        <v>45797</v>
      </c>
      <c r="C455" t="s">
        <v>85</v>
      </c>
      <c r="D455" t="s">
        <v>11</v>
      </c>
      <c r="E455" t="s">
        <v>12</v>
      </c>
      <c r="F455" t="s">
        <v>34</v>
      </c>
      <c r="G455">
        <v>11</v>
      </c>
      <c r="H455">
        <v>55000</v>
      </c>
      <c r="I455">
        <v>0</v>
      </c>
      <c r="J455" t="str">
        <f>_xlfn.XLOOKUP(tblOrders[[#This Row],[ProductID]],Products!$A$2:$A$9,Products!$B$2:$B$9,"Unknown")</f>
        <v>Laptop</v>
      </c>
      <c r="K455" t="str">
        <f>_xlfn.XLOOKUP(tblOrders[[#This Row],[ProductID]],Products!$A$2:$A$9,Products!$C$2:$C$9,"Unknown")</f>
        <v>Electronics</v>
      </c>
      <c r="L455">
        <f>_xlfn.XLOOKUP(tblOrders[[#This Row],[ProductID]],Products!$A$2:$A$9,Products!$D$2:$D$9,0)</f>
        <v>41000</v>
      </c>
      <c r="M455">
        <f>tblOrders[[#This Row],[Quantity]]*tblOrders[[#This Row],[UnitPrice]]*(1-tblOrders[[#This Row],[Discount]])</f>
        <v>605000</v>
      </c>
      <c r="N455">
        <f>tblOrders[[#This Row],[Quantity]]*tblOrders[[#This Row],[UnitCost]]</f>
        <v>451000</v>
      </c>
      <c r="O455">
        <f>tblOrders[[#This Row],[Revenue]]-tblOrders[[#This Row],[Cost]]</f>
        <v>154000</v>
      </c>
      <c r="P455" t="str">
        <f>TEXT(tblOrders[[#This Row],[OrderDate]],"mmm")</f>
        <v>May</v>
      </c>
    </row>
    <row r="456" spans="1:16" x14ac:dyDescent="0.25">
      <c r="A456" t="s">
        <v>31</v>
      </c>
      <c r="B456" s="2">
        <v>45827</v>
      </c>
      <c r="C456" t="s">
        <v>32</v>
      </c>
      <c r="D456" t="s">
        <v>16</v>
      </c>
      <c r="E456" t="s">
        <v>33</v>
      </c>
      <c r="F456" t="s">
        <v>34</v>
      </c>
      <c r="G456">
        <v>15</v>
      </c>
      <c r="H456">
        <v>55000</v>
      </c>
      <c r="I456">
        <v>0</v>
      </c>
      <c r="J456" t="str">
        <f>_xlfn.XLOOKUP(tblOrders[[#This Row],[ProductID]],Products!$A$2:$A$9,Products!$B$2:$B$9,"Unknown")</f>
        <v>Laptop</v>
      </c>
      <c r="K456" t="str">
        <f>_xlfn.XLOOKUP(tblOrders[[#This Row],[ProductID]],Products!$A$2:$A$9,Products!$C$2:$C$9,"Unknown")</f>
        <v>Electronics</v>
      </c>
      <c r="L456">
        <f>_xlfn.XLOOKUP(tblOrders[[#This Row],[ProductID]],Products!$A$2:$A$9,Products!$D$2:$D$9,0)</f>
        <v>41000</v>
      </c>
      <c r="M456">
        <f>tblOrders[[#This Row],[Quantity]]*tblOrders[[#This Row],[UnitPrice]]*(1-tblOrders[[#This Row],[Discount]])</f>
        <v>825000</v>
      </c>
      <c r="N456">
        <f>tblOrders[[#This Row],[Quantity]]*tblOrders[[#This Row],[UnitCost]]</f>
        <v>615000</v>
      </c>
      <c r="O456">
        <f>tblOrders[[#This Row],[Revenue]]-tblOrders[[#This Row],[Cost]]</f>
        <v>210000</v>
      </c>
      <c r="P456" t="str">
        <f>TEXT(tblOrders[[#This Row],[OrderDate]],"mmm")</f>
        <v>Jun</v>
      </c>
    </row>
    <row r="457" spans="1:16" x14ac:dyDescent="0.25">
      <c r="A457" t="s">
        <v>196</v>
      </c>
      <c r="B457" s="2">
        <v>45895</v>
      </c>
      <c r="C457" t="s">
        <v>97</v>
      </c>
      <c r="D457" t="s">
        <v>21</v>
      </c>
      <c r="E457" t="s">
        <v>28</v>
      </c>
      <c r="F457" t="s">
        <v>64</v>
      </c>
      <c r="G457">
        <v>2</v>
      </c>
      <c r="H457">
        <v>500</v>
      </c>
      <c r="I457">
        <v>0</v>
      </c>
      <c r="J457" t="str">
        <f>_xlfn.XLOOKUP(tblOrders[[#This Row],[ProductID]],Products!$A$2:$A$9,Products!$B$2:$B$9,"Unknown")</f>
        <v>Mouse</v>
      </c>
      <c r="K457" t="str">
        <f>_xlfn.XLOOKUP(tblOrders[[#This Row],[ProductID]],Products!$A$2:$A$9,Products!$C$2:$C$9,"Unknown")</f>
        <v>Accessories</v>
      </c>
      <c r="L457">
        <f>_xlfn.XLOOKUP(tblOrders[[#This Row],[ProductID]],Products!$A$2:$A$9,Products!$D$2:$D$9,0)</f>
        <v>320</v>
      </c>
      <c r="M457">
        <f>tblOrders[[#This Row],[Quantity]]*tblOrders[[#This Row],[UnitPrice]]*(1-tblOrders[[#This Row],[Discount]])</f>
        <v>1000</v>
      </c>
      <c r="N457">
        <f>tblOrders[[#This Row],[Quantity]]*tblOrders[[#This Row],[UnitCost]]</f>
        <v>640</v>
      </c>
      <c r="O457">
        <f>tblOrders[[#This Row],[Revenue]]-tblOrders[[#This Row],[Cost]]</f>
        <v>360</v>
      </c>
      <c r="P457" t="str">
        <f>TEXT(tblOrders[[#This Row],[OrderDate]],"mmm")</f>
        <v>Aug</v>
      </c>
    </row>
    <row r="458" spans="1:16" x14ac:dyDescent="0.25">
      <c r="A458" t="s">
        <v>596</v>
      </c>
      <c r="B458" s="2">
        <v>45691</v>
      </c>
      <c r="C458" t="s">
        <v>105</v>
      </c>
      <c r="D458" t="s">
        <v>21</v>
      </c>
      <c r="E458" t="s">
        <v>22</v>
      </c>
      <c r="F458" t="s">
        <v>18</v>
      </c>
      <c r="G458">
        <v>14</v>
      </c>
      <c r="H458">
        <v>18000</v>
      </c>
      <c r="I458">
        <v>0.15</v>
      </c>
      <c r="J458" t="str">
        <f>_xlfn.XLOOKUP(tblOrders[[#This Row],[ProductID]],Products!$A$2:$A$9,Products!$B$2:$B$9,"Unknown")</f>
        <v>Tablet</v>
      </c>
      <c r="K458" t="str">
        <f>_xlfn.XLOOKUP(tblOrders[[#This Row],[ProductID]],Products!$A$2:$A$9,Products!$C$2:$C$9,"Unknown")</f>
        <v>Electronics</v>
      </c>
      <c r="L458">
        <f>_xlfn.XLOOKUP(tblOrders[[#This Row],[ProductID]],Products!$A$2:$A$9,Products!$D$2:$D$9,0)</f>
        <v>13500</v>
      </c>
      <c r="M458">
        <f>tblOrders[[#This Row],[Quantity]]*tblOrders[[#This Row],[UnitPrice]]*(1-tblOrders[[#This Row],[Discount]])</f>
        <v>214200</v>
      </c>
      <c r="N458">
        <f>tblOrders[[#This Row],[Quantity]]*tblOrders[[#This Row],[UnitCost]]</f>
        <v>189000</v>
      </c>
      <c r="O458">
        <f>tblOrders[[#This Row],[Revenue]]-tblOrders[[#This Row],[Cost]]</f>
        <v>25200</v>
      </c>
      <c r="P458" t="str">
        <f>TEXT(tblOrders[[#This Row],[OrderDate]],"mmm")</f>
        <v>Feb</v>
      </c>
    </row>
    <row r="459" spans="1:16" x14ac:dyDescent="0.25">
      <c r="A459" t="s">
        <v>1041</v>
      </c>
      <c r="B459" s="2">
        <v>45900</v>
      </c>
      <c r="C459" t="s">
        <v>162</v>
      </c>
      <c r="D459" t="s">
        <v>11</v>
      </c>
      <c r="E459" t="s">
        <v>12</v>
      </c>
      <c r="F459" t="s">
        <v>23</v>
      </c>
      <c r="G459">
        <v>4</v>
      </c>
      <c r="H459">
        <v>900</v>
      </c>
      <c r="I459">
        <v>0.1</v>
      </c>
      <c r="J459" t="str">
        <f>_xlfn.XLOOKUP(tblOrders[[#This Row],[ProductID]],Products!$A$2:$A$9,Products!$B$2:$B$9,"Unknown")</f>
        <v>Keyboard</v>
      </c>
      <c r="K459" t="str">
        <f>_xlfn.XLOOKUP(tblOrders[[#This Row],[ProductID]],Products!$A$2:$A$9,Products!$C$2:$C$9,"Unknown")</f>
        <v>Accessories</v>
      </c>
      <c r="L459">
        <f>_xlfn.XLOOKUP(tblOrders[[#This Row],[ProductID]],Products!$A$2:$A$9,Products!$D$2:$D$9,0)</f>
        <v>600</v>
      </c>
      <c r="M459">
        <f>tblOrders[[#This Row],[Quantity]]*tblOrders[[#This Row],[UnitPrice]]*(1-tblOrders[[#This Row],[Discount]])</f>
        <v>3240</v>
      </c>
      <c r="N459">
        <f>tblOrders[[#This Row],[Quantity]]*tblOrders[[#This Row],[UnitCost]]</f>
        <v>2400</v>
      </c>
      <c r="O459">
        <f>tblOrders[[#This Row],[Revenue]]-tblOrders[[#This Row],[Cost]]</f>
        <v>840</v>
      </c>
      <c r="P459" t="str">
        <f>TEXT(tblOrders[[#This Row],[OrderDate]],"mmm")</f>
        <v>Aug</v>
      </c>
    </row>
    <row r="460" spans="1:16" x14ac:dyDescent="0.25">
      <c r="A460" t="s">
        <v>549</v>
      </c>
      <c r="B460" s="2">
        <v>45809</v>
      </c>
      <c r="C460" t="s">
        <v>229</v>
      </c>
      <c r="D460" t="s">
        <v>39</v>
      </c>
      <c r="E460" t="s">
        <v>76</v>
      </c>
      <c r="F460" t="s">
        <v>55</v>
      </c>
      <c r="G460">
        <v>7</v>
      </c>
      <c r="H460">
        <v>8000</v>
      </c>
      <c r="I460">
        <v>0</v>
      </c>
      <c r="J460" t="str">
        <f>_xlfn.XLOOKUP(tblOrders[[#This Row],[ProductID]],Products!$A$2:$A$9,Products!$B$2:$B$9,"Unknown")</f>
        <v>Printer</v>
      </c>
      <c r="K460" t="str">
        <f>_xlfn.XLOOKUP(tblOrders[[#This Row],[ProductID]],Products!$A$2:$A$9,Products!$C$2:$C$9,"Unknown")</f>
        <v>Electronics</v>
      </c>
      <c r="L460">
        <f>_xlfn.XLOOKUP(tblOrders[[#This Row],[ProductID]],Products!$A$2:$A$9,Products!$D$2:$D$9,0)</f>
        <v>6200</v>
      </c>
      <c r="M460">
        <f>tblOrders[[#This Row],[Quantity]]*tblOrders[[#This Row],[UnitPrice]]*(1-tblOrders[[#This Row],[Discount]])</f>
        <v>56000</v>
      </c>
      <c r="N460">
        <f>tblOrders[[#This Row],[Quantity]]*tblOrders[[#This Row],[UnitCost]]</f>
        <v>43400</v>
      </c>
      <c r="O460">
        <f>tblOrders[[#This Row],[Revenue]]-tblOrders[[#This Row],[Cost]]</f>
        <v>12600</v>
      </c>
      <c r="P460" t="str">
        <f>TEXT(tblOrders[[#This Row],[OrderDate]],"mmm")</f>
        <v>Jun</v>
      </c>
    </row>
    <row r="461" spans="1:16" x14ac:dyDescent="0.25">
      <c r="A461" t="s">
        <v>442</v>
      </c>
      <c r="B461" s="2">
        <v>45698</v>
      </c>
      <c r="C461" t="s">
        <v>85</v>
      </c>
      <c r="D461" t="s">
        <v>21</v>
      </c>
      <c r="E461" t="s">
        <v>28</v>
      </c>
      <c r="F461" t="s">
        <v>13</v>
      </c>
      <c r="G461">
        <v>7</v>
      </c>
      <c r="H461">
        <v>2000</v>
      </c>
      <c r="I461">
        <v>0.05</v>
      </c>
      <c r="J461" t="str">
        <f>_xlfn.XLOOKUP(tblOrders[[#This Row],[ProductID]],Products!$A$2:$A$9,Products!$B$2:$B$9,"Unknown")</f>
        <v>Headset</v>
      </c>
      <c r="K461" t="str">
        <f>_xlfn.XLOOKUP(tblOrders[[#This Row],[ProductID]],Products!$A$2:$A$9,Products!$C$2:$C$9,"Unknown")</f>
        <v>Accessories</v>
      </c>
      <c r="L461">
        <f>_xlfn.XLOOKUP(tblOrders[[#This Row],[ProductID]],Products!$A$2:$A$9,Products!$D$2:$D$9,0)</f>
        <v>1300</v>
      </c>
      <c r="M461">
        <f>tblOrders[[#This Row],[Quantity]]*tblOrders[[#This Row],[UnitPrice]]*(1-tblOrders[[#This Row],[Discount]])</f>
        <v>13300</v>
      </c>
      <c r="N461">
        <f>tblOrders[[#This Row],[Quantity]]*tblOrders[[#This Row],[UnitCost]]</f>
        <v>9100</v>
      </c>
      <c r="O461">
        <f>tblOrders[[#This Row],[Revenue]]-tblOrders[[#This Row],[Cost]]</f>
        <v>4200</v>
      </c>
      <c r="P461" t="str">
        <f>TEXT(tblOrders[[#This Row],[OrderDate]],"mmm")</f>
        <v>Feb</v>
      </c>
    </row>
    <row r="462" spans="1:16" x14ac:dyDescent="0.25">
      <c r="A462" t="s">
        <v>860</v>
      </c>
      <c r="B462" s="2">
        <v>45980</v>
      </c>
      <c r="C462" t="s">
        <v>99</v>
      </c>
      <c r="D462" t="s">
        <v>16</v>
      </c>
      <c r="E462" t="s">
        <v>17</v>
      </c>
      <c r="F462" t="s">
        <v>13</v>
      </c>
      <c r="G462">
        <v>1</v>
      </c>
      <c r="H462">
        <v>2000</v>
      </c>
      <c r="I462">
        <v>0.1</v>
      </c>
      <c r="J462" t="str">
        <f>_xlfn.XLOOKUP(tblOrders[[#This Row],[ProductID]],Products!$A$2:$A$9,Products!$B$2:$B$9,"Unknown")</f>
        <v>Headset</v>
      </c>
      <c r="K462" t="str">
        <f>_xlfn.XLOOKUP(tblOrders[[#This Row],[ProductID]],Products!$A$2:$A$9,Products!$C$2:$C$9,"Unknown")</f>
        <v>Accessories</v>
      </c>
      <c r="L462">
        <f>_xlfn.XLOOKUP(tblOrders[[#This Row],[ProductID]],Products!$A$2:$A$9,Products!$D$2:$D$9,0)</f>
        <v>1300</v>
      </c>
      <c r="M462">
        <f>tblOrders[[#This Row],[Quantity]]*tblOrders[[#This Row],[UnitPrice]]*(1-tblOrders[[#This Row],[Discount]])</f>
        <v>1800</v>
      </c>
      <c r="N462">
        <f>tblOrders[[#This Row],[Quantity]]*tblOrders[[#This Row],[UnitCost]]</f>
        <v>1300</v>
      </c>
      <c r="O462">
        <f>tblOrders[[#This Row],[Revenue]]-tblOrders[[#This Row],[Cost]]</f>
        <v>500</v>
      </c>
      <c r="P462" t="str">
        <f>TEXT(tblOrders[[#This Row],[OrderDate]],"mmm")</f>
        <v>Nov</v>
      </c>
    </row>
    <row r="463" spans="1:16" x14ac:dyDescent="0.25">
      <c r="A463" t="s">
        <v>767</v>
      </c>
      <c r="B463" s="2">
        <v>45751</v>
      </c>
      <c r="C463" t="s">
        <v>25</v>
      </c>
      <c r="D463" t="s">
        <v>21</v>
      </c>
      <c r="E463" t="s">
        <v>28</v>
      </c>
      <c r="F463" t="s">
        <v>69</v>
      </c>
      <c r="G463">
        <v>3</v>
      </c>
      <c r="H463">
        <v>12000</v>
      </c>
      <c r="I463">
        <v>0.1</v>
      </c>
      <c r="J463" t="str">
        <f>_xlfn.XLOOKUP(tblOrders[[#This Row],[ProductID]],Products!$A$2:$A$9,Products!$B$2:$B$9,"Unknown")</f>
        <v>Monitor</v>
      </c>
      <c r="K463" t="str">
        <f>_xlfn.XLOOKUP(tblOrders[[#This Row],[ProductID]],Products!$A$2:$A$9,Products!$C$2:$C$9,"Unknown")</f>
        <v>Electronics</v>
      </c>
      <c r="L463">
        <f>_xlfn.XLOOKUP(tblOrders[[#This Row],[ProductID]],Products!$A$2:$A$9,Products!$D$2:$D$9,0)</f>
        <v>9000</v>
      </c>
      <c r="M463">
        <f>tblOrders[[#This Row],[Quantity]]*tblOrders[[#This Row],[UnitPrice]]*(1-tblOrders[[#This Row],[Discount]])</f>
        <v>32400</v>
      </c>
      <c r="N463">
        <f>tblOrders[[#This Row],[Quantity]]*tblOrders[[#This Row],[UnitCost]]</f>
        <v>27000</v>
      </c>
      <c r="O463">
        <f>tblOrders[[#This Row],[Revenue]]-tblOrders[[#This Row],[Cost]]</f>
        <v>5400</v>
      </c>
      <c r="P463" t="str">
        <f>TEXT(tblOrders[[#This Row],[OrderDate]],"mmm")</f>
        <v>Apr</v>
      </c>
    </row>
    <row r="464" spans="1:16" x14ac:dyDescent="0.25">
      <c r="A464" t="s">
        <v>935</v>
      </c>
      <c r="B464" s="2">
        <v>45795</v>
      </c>
      <c r="C464" t="s">
        <v>107</v>
      </c>
      <c r="D464" t="s">
        <v>21</v>
      </c>
      <c r="E464" t="s">
        <v>22</v>
      </c>
      <c r="F464" t="s">
        <v>34</v>
      </c>
      <c r="G464">
        <v>8</v>
      </c>
      <c r="H464">
        <v>55000</v>
      </c>
      <c r="I464">
        <v>0</v>
      </c>
      <c r="J464" t="str">
        <f>_xlfn.XLOOKUP(tblOrders[[#This Row],[ProductID]],Products!$A$2:$A$9,Products!$B$2:$B$9,"Unknown")</f>
        <v>Laptop</v>
      </c>
      <c r="K464" t="str">
        <f>_xlfn.XLOOKUP(tblOrders[[#This Row],[ProductID]],Products!$A$2:$A$9,Products!$C$2:$C$9,"Unknown")</f>
        <v>Electronics</v>
      </c>
      <c r="L464">
        <f>_xlfn.XLOOKUP(tblOrders[[#This Row],[ProductID]],Products!$A$2:$A$9,Products!$D$2:$D$9,0)</f>
        <v>41000</v>
      </c>
      <c r="M464">
        <f>tblOrders[[#This Row],[Quantity]]*tblOrders[[#This Row],[UnitPrice]]*(1-tblOrders[[#This Row],[Discount]])</f>
        <v>440000</v>
      </c>
      <c r="N464">
        <f>tblOrders[[#This Row],[Quantity]]*tblOrders[[#This Row],[UnitCost]]</f>
        <v>328000</v>
      </c>
      <c r="O464">
        <f>tblOrders[[#This Row],[Revenue]]-tblOrders[[#This Row],[Cost]]</f>
        <v>112000</v>
      </c>
      <c r="P464" t="str">
        <f>TEXT(tblOrders[[#This Row],[OrderDate]],"mmm")</f>
        <v>May</v>
      </c>
    </row>
    <row r="465" spans="1:16" x14ac:dyDescent="0.25">
      <c r="A465" t="s">
        <v>35</v>
      </c>
      <c r="B465" s="2">
        <v>45901</v>
      </c>
      <c r="C465" t="s">
        <v>36</v>
      </c>
      <c r="D465" t="s">
        <v>11</v>
      </c>
      <c r="E465" t="s">
        <v>12</v>
      </c>
      <c r="F465" t="s">
        <v>23</v>
      </c>
      <c r="G465">
        <v>15</v>
      </c>
      <c r="H465">
        <v>900</v>
      </c>
      <c r="I465">
        <v>0</v>
      </c>
      <c r="J465" t="str">
        <f>_xlfn.XLOOKUP(tblOrders[[#This Row],[ProductID]],Products!$A$2:$A$9,Products!$B$2:$B$9,"Unknown")</f>
        <v>Keyboard</v>
      </c>
      <c r="K465" t="str">
        <f>_xlfn.XLOOKUP(tblOrders[[#This Row],[ProductID]],Products!$A$2:$A$9,Products!$C$2:$C$9,"Unknown")</f>
        <v>Accessories</v>
      </c>
      <c r="L465">
        <f>_xlfn.XLOOKUP(tblOrders[[#This Row],[ProductID]],Products!$A$2:$A$9,Products!$D$2:$D$9,0)</f>
        <v>600</v>
      </c>
      <c r="M465">
        <f>tblOrders[[#This Row],[Quantity]]*tblOrders[[#This Row],[UnitPrice]]*(1-tblOrders[[#This Row],[Discount]])</f>
        <v>13500</v>
      </c>
      <c r="N465">
        <f>tblOrders[[#This Row],[Quantity]]*tblOrders[[#This Row],[UnitCost]]</f>
        <v>9000</v>
      </c>
      <c r="O465">
        <f>tblOrders[[#This Row],[Revenue]]-tblOrders[[#This Row],[Cost]]</f>
        <v>4500</v>
      </c>
      <c r="P465" t="str">
        <f>TEXT(tblOrders[[#This Row],[OrderDate]],"mmm")</f>
        <v>Sep</v>
      </c>
    </row>
    <row r="466" spans="1:16" x14ac:dyDescent="0.25">
      <c r="A466" t="s">
        <v>181</v>
      </c>
      <c r="B466" s="2">
        <v>45659</v>
      </c>
      <c r="C466" t="s">
        <v>59</v>
      </c>
      <c r="D466" t="s">
        <v>16</v>
      </c>
      <c r="E466" t="s">
        <v>17</v>
      </c>
      <c r="F466" t="s">
        <v>43</v>
      </c>
      <c r="G466">
        <v>12</v>
      </c>
      <c r="H466">
        <v>1500</v>
      </c>
      <c r="I466">
        <v>0.1</v>
      </c>
      <c r="J466" t="str">
        <f>_xlfn.XLOOKUP(tblOrders[[#This Row],[ProductID]],Products!$A$2:$A$9,Products!$B$2:$B$9,"Unknown")</f>
        <v>Webcam</v>
      </c>
      <c r="K466" t="str">
        <f>_xlfn.XLOOKUP(tblOrders[[#This Row],[ProductID]],Products!$A$2:$A$9,Products!$C$2:$C$9,"Unknown")</f>
        <v>Accessories</v>
      </c>
      <c r="L466">
        <f>_xlfn.XLOOKUP(tblOrders[[#This Row],[ProductID]],Products!$A$2:$A$9,Products!$D$2:$D$9,0)</f>
        <v>980</v>
      </c>
      <c r="M466">
        <f>tblOrders[[#This Row],[Quantity]]*tblOrders[[#This Row],[UnitPrice]]*(1-tblOrders[[#This Row],[Discount]])</f>
        <v>16200</v>
      </c>
      <c r="N466">
        <f>tblOrders[[#This Row],[Quantity]]*tblOrders[[#This Row],[UnitCost]]</f>
        <v>11760</v>
      </c>
      <c r="O466">
        <f>tblOrders[[#This Row],[Revenue]]-tblOrders[[#This Row],[Cost]]</f>
        <v>4440</v>
      </c>
      <c r="P466" t="str">
        <f>TEXT(tblOrders[[#This Row],[OrderDate]],"mmm")</f>
        <v>Jan</v>
      </c>
    </row>
    <row r="467" spans="1:16" x14ac:dyDescent="0.25">
      <c r="A467" t="s">
        <v>514</v>
      </c>
      <c r="B467" s="2">
        <v>45875</v>
      </c>
      <c r="C467" t="s">
        <v>66</v>
      </c>
      <c r="D467" t="s">
        <v>39</v>
      </c>
      <c r="E467" t="s">
        <v>76</v>
      </c>
      <c r="F467" t="s">
        <v>55</v>
      </c>
      <c r="G467">
        <v>7</v>
      </c>
      <c r="H467">
        <v>8000</v>
      </c>
      <c r="I467">
        <v>0.15</v>
      </c>
      <c r="J467" t="str">
        <f>_xlfn.XLOOKUP(tblOrders[[#This Row],[ProductID]],Products!$A$2:$A$9,Products!$B$2:$B$9,"Unknown")</f>
        <v>Printer</v>
      </c>
      <c r="K467" t="str">
        <f>_xlfn.XLOOKUP(tblOrders[[#This Row],[ProductID]],Products!$A$2:$A$9,Products!$C$2:$C$9,"Unknown")</f>
        <v>Electronics</v>
      </c>
      <c r="L467">
        <f>_xlfn.XLOOKUP(tblOrders[[#This Row],[ProductID]],Products!$A$2:$A$9,Products!$D$2:$D$9,0)</f>
        <v>6200</v>
      </c>
      <c r="M467">
        <f>tblOrders[[#This Row],[Quantity]]*tblOrders[[#This Row],[UnitPrice]]*(1-tblOrders[[#This Row],[Discount]])</f>
        <v>47600</v>
      </c>
      <c r="N467">
        <f>tblOrders[[#This Row],[Quantity]]*tblOrders[[#This Row],[UnitCost]]</f>
        <v>43400</v>
      </c>
      <c r="O467">
        <f>tblOrders[[#This Row],[Revenue]]-tblOrders[[#This Row],[Cost]]</f>
        <v>4200</v>
      </c>
      <c r="P467" t="str">
        <f>TEXT(tblOrders[[#This Row],[OrderDate]],"mmm")</f>
        <v>Aug</v>
      </c>
    </row>
    <row r="468" spans="1:16" x14ac:dyDescent="0.25">
      <c r="A468" t="s">
        <v>882</v>
      </c>
      <c r="B468" s="2">
        <v>45681</v>
      </c>
      <c r="C468" t="s">
        <v>71</v>
      </c>
      <c r="D468" t="s">
        <v>21</v>
      </c>
      <c r="E468" t="s">
        <v>28</v>
      </c>
      <c r="F468" t="s">
        <v>69</v>
      </c>
      <c r="G468">
        <v>4</v>
      </c>
      <c r="H468">
        <v>12000</v>
      </c>
      <c r="I468">
        <v>0</v>
      </c>
      <c r="J468" t="str">
        <f>_xlfn.XLOOKUP(tblOrders[[#This Row],[ProductID]],Products!$A$2:$A$9,Products!$B$2:$B$9,"Unknown")</f>
        <v>Monitor</v>
      </c>
      <c r="K468" t="str">
        <f>_xlfn.XLOOKUP(tblOrders[[#This Row],[ProductID]],Products!$A$2:$A$9,Products!$C$2:$C$9,"Unknown")</f>
        <v>Electronics</v>
      </c>
      <c r="L468">
        <f>_xlfn.XLOOKUP(tblOrders[[#This Row],[ProductID]],Products!$A$2:$A$9,Products!$D$2:$D$9,0)</f>
        <v>9000</v>
      </c>
      <c r="M468">
        <f>tblOrders[[#This Row],[Quantity]]*tblOrders[[#This Row],[UnitPrice]]*(1-tblOrders[[#This Row],[Discount]])</f>
        <v>48000</v>
      </c>
      <c r="N468">
        <f>tblOrders[[#This Row],[Quantity]]*tblOrders[[#This Row],[UnitCost]]</f>
        <v>36000</v>
      </c>
      <c r="O468">
        <f>tblOrders[[#This Row],[Revenue]]-tblOrders[[#This Row],[Cost]]</f>
        <v>12000</v>
      </c>
      <c r="P468" t="str">
        <f>TEXT(tblOrders[[#This Row],[OrderDate]],"mmm")</f>
        <v>Jan</v>
      </c>
    </row>
    <row r="469" spans="1:16" x14ac:dyDescent="0.25">
      <c r="A469" t="s">
        <v>507</v>
      </c>
      <c r="B469" s="2">
        <v>45864</v>
      </c>
      <c r="C469" t="s">
        <v>15</v>
      </c>
      <c r="D469" t="s">
        <v>21</v>
      </c>
      <c r="E469" t="s">
        <v>28</v>
      </c>
      <c r="F469" t="s">
        <v>13</v>
      </c>
      <c r="G469">
        <v>2</v>
      </c>
      <c r="H469">
        <v>2000</v>
      </c>
      <c r="I469">
        <v>0.15</v>
      </c>
      <c r="J469" t="str">
        <f>_xlfn.XLOOKUP(tblOrders[[#This Row],[ProductID]],Products!$A$2:$A$9,Products!$B$2:$B$9,"Unknown")</f>
        <v>Headset</v>
      </c>
      <c r="K469" t="str">
        <f>_xlfn.XLOOKUP(tblOrders[[#This Row],[ProductID]],Products!$A$2:$A$9,Products!$C$2:$C$9,"Unknown")</f>
        <v>Accessories</v>
      </c>
      <c r="L469">
        <f>_xlfn.XLOOKUP(tblOrders[[#This Row],[ProductID]],Products!$A$2:$A$9,Products!$D$2:$D$9,0)</f>
        <v>1300</v>
      </c>
      <c r="M469">
        <f>tblOrders[[#This Row],[Quantity]]*tblOrders[[#This Row],[UnitPrice]]*(1-tblOrders[[#This Row],[Discount]])</f>
        <v>3400</v>
      </c>
      <c r="N469">
        <f>tblOrders[[#This Row],[Quantity]]*tblOrders[[#This Row],[UnitCost]]</f>
        <v>2600</v>
      </c>
      <c r="O469">
        <f>tblOrders[[#This Row],[Revenue]]-tblOrders[[#This Row],[Cost]]</f>
        <v>800</v>
      </c>
      <c r="P469" t="str">
        <f>TEXT(tblOrders[[#This Row],[OrderDate]],"mmm")</f>
        <v>Jul</v>
      </c>
    </row>
    <row r="470" spans="1:16" x14ac:dyDescent="0.25">
      <c r="A470" t="s">
        <v>176</v>
      </c>
      <c r="B470" s="2">
        <v>45974</v>
      </c>
      <c r="C470" t="s">
        <v>50</v>
      </c>
      <c r="D470" t="s">
        <v>21</v>
      </c>
      <c r="E470" t="s">
        <v>28</v>
      </c>
      <c r="F470" t="s">
        <v>55</v>
      </c>
      <c r="G470">
        <v>4</v>
      </c>
      <c r="H470">
        <v>8000</v>
      </c>
      <c r="I470">
        <v>0.15</v>
      </c>
      <c r="J470" t="str">
        <f>_xlfn.XLOOKUP(tblOrders[[#This Row],[ProductID]],Products!$A$2:$A$9,Products!$B$2:$B$9,"Unknown")</f>
        <v>Printer</v>
      </c>
      <c r="K470" t="str">
        <f>_xlfn.XLOOKUP(tblOrders[[#This Row],[ProductID]],Products!$A$2:$A$9,Products!$C$2:$C$9,"Unknown")</f>
        <v>Electronics</v>
      </c>
      <c r="L470">
        <f>_xlfn.XLOOKUP(tblOrders[[#This Row],[ProductID]],Products!$A$2:$A$9,Products!$D$2:$D$9,0)</f>
        <v>6200</v>
      </c>
      <c r="M470">
        <f>tblOrders[[#This Row],[Quantity]]*tblOrders[[#This Row],[UnitPrice]]*(1-tblOrders[[#This Row],[Discount]])</f>
        <v>27200</v>
      </c>
      <c r="N470">
        <f>tblOrders[[#This Row],[Quantity]]*tblOrders[[#This Row],[UnitCost]]</f>
        <v>24800</v>
      </c>
      <c r="O470">
        <f>tblOrders[[#This Row],[Revenue]]-tblOrders[[#This Row],[Cost]]</f>
        <v>2400</v>
      </c>
      <c r="P470" t="str">
        <f>TEXT(tblOrders[[#This Row],[OrderDate]],"mmm")</f>
        <v>Nov</v>
      </c>
    </row>
    <row r="471" spans="1:16" x14ac:dyDescent="0.25">
      <c r="A471" t="s">
        <v>798</v>
      </c>
      <c r="B471" s="2">
        <v>45984</v>
      </c>
      <c r="C471" t="s">
        <v>333</v>
      </c>
      <c r="D471" t="s">
        <v>21</v>
      </c>
      <c r="E471" t="s">
        <v>28</v>
      </c>
      <c r="F471" t="s">
        <v>64</v>
      </c>
      <c r="G471">
        <v>5</v>
      </c>
      <c r="H471">
        <v>500</v>
      </c>
      <c r="I471">
        <v>0</v>
      </c>
      <c r="J471" t="str">
        <f>_xlfn.XLOOKUP(tblOrders[[#This Row],[ProductID]],Products!$A$2:$A$9,Products!$B$2:$B$9,"Unknown")</f>
        <v>Mouse</v>
      </c>
      <c r="K471" t="str">
        <f>_xlfn.XLOOKUP(tblOrders[[#This Row],[ProductID]],Products!$A$2:$A$9,Products!$C$2:$C$9,"Unknown")</f>
        <v>Accessories</v>
      </c>
      <c r="L471">
        <f>_xlfn.XLOOKUP(tblOrders[[#This Row],[ProductID]],Products!$A$2:$A$9,Products!$D$2:$D$9,0)</f>
        <v>320</v>
      </c>
      <c r="M471">
        <f>tblOrders[[#This Row],[Quantity]]*tblOrders[[#This Row],[UnitPrice]]*(1-tblOrders[[#This Row],[Discount]])</f>
        <v>2500</v>
      </c>
      <c r="N471">
        <f>tblOrders[[#This Row],[Quantity]]*tblOrders[[#This Row],[UnitCost]]</f>
        <v>1600</v>
      </c>
      <c r="O471">
        <f>tblOrders[[#This Row],[Revenue]]-tblOrders[[#This Row],[Cost]]</f>
        <v>900</v>
      </c>
      <c r="P471" t="str">
        <f>TEXT(tblOrders[[#This Row],[OrderDate]],"mmm")</f>
        <v>Nov</v>
      </c>
    </row>
    <row r="472" spans="1:16" x14ac:dyDescent="0.25">
      <c r="A472" t="s">
        <v>543</v>
      </c>
      <c r="B472" s="2">
        <v>45862</v>
      </c>
      <c r="C472" t="s">
        <v>238</v>
      </c>
      <c r="D472" t="s">
        <v>11</v>
      </c>
      <c r="E472" t="s">
        <v>46</v>
      </c>
      <c r="F472" t="s">
        <v>23</v>
      </c>
      <c r="G472">
        <v>1</v>
      </c>
      <c r="H472">
        <v>900</v>
      </c>
      <c r="I472">
        <v>0</v>
      </c>
      <c r="J472" t="str">
        <f>_xlfn.XLOOKUP(tblOrders[[#This Row],[ProductID]],Products!$A$2:$A$9,Products!$B$2:$B$9,"Unknown")</f>
        <v>Keyboard</v>
      </c>
      <c r="K472" t="str">
        <f>_xlfn.XLOOKUP(tblOrders[[#This Row],[ProductID]],Products!$A$2:$A$9,Products!$C$2:$C$9,"Unknown")</f>
        <v>Accessories</v>
      </c>
      <c r="L472">
        <f>_xlfn.XLOOKUP(tblOrders[[#This Row],[ProductID]],Products!$A$2:$A$9,Products!$D$2:$D$9,0)</f>
        <v>600</v>
      </c>
      <c r="M472">
        <f>tblOrders[[#This Row],[Quantity]]*tblOrders[[#This Row],[UnitPrice]]*(1-tblOrders[[#This Row],[Discount]])</f>
        <v>900</v>
      </c>
      <c r="N472">
        <f>tblOrders[[#This Row],[Quantity]]*tblOrders[[#This Row],[UnitCost]]</f>
        <v>600</v>
      </c>
      <c r="O472">
        <f>tblOrders[[#This Row],[Revenue]]-tblOrders[[#This Row],[Cost]]</f>
        <v>300</v>
      </c>
      <c r="P472" t="str">
        <f>TEXT(tblOrders[[#This Row],[OrderDate]],"mmm")</f>
        <v>Jul</v>
      </c>
    </row>
    <row r="473" spans="1:16" x14ac:dyDescent="0.25">
      <c r="A473" t="s">
        <v>277</v>
      </c>
      <c r="B473" s="2">
        <v>45887</v>
      </c>
      <c r="C473" t="s">
        <v>97</v>
      </c>
      <c r="D473" t="s">
        <v>11</v>
      </c>
      <c r="E473" t="s">
        <v>46</v>
      </c>
      <c r="F473" t="s">
        <v>64</v>
      </c>
      <c r="G473">
        <v>11</v>
      </c>
      <c r="H473">
        <v>500</v>
      </c>
      <c r="I473">
        <v>0.05</v>
      </c>
      <c r="J473" t="str">
        <f>_xlfn.XLOOKUP(tblOrders[[#This Row],[ProductID]],Products!$A$2:$A$9,Products!$B$2:$B$9,"Unknown")</f>
        <v>Mouse</v>
      </c>
      <c r="K473" t="str">
        <f>_xlfn.XLOOKUP(tblOrders[[#This Row],[ProductID]],Products!$A$2:$A$9,Products!$C$2:$C$9,"Unknown")</f>
        <v>Accessories</v>
      </c>
      <c r="L473">
        <f>_xlfn.XLOOKUP(tblOrders[[#This Row],[ProductID]],Products!$A$2:$A$9,Products!$D$2:$D$9,0)</f>
        <v>320</v>
      </c>
      <c r="M473">
        <f>tblOrders[[#This Row],[Quantity]]*tblOrders[[#This Row],[UnitPrice]]*(1-tblOrders[[#This Row],[Discount]])</f>
        <v>5225</v>
      </c>
      <c r="N473">
        <f>tblOrders[[#This Row],[Quantity]]*tblOrders[[#This Row],[UnitCost]]</f>
        <v>3520</v>
      </c>
      <c r="O473">
        <f>tblOrders[[#This Row],[Revenue]]-tblOrders[[#This Row],[Cost]]</f>
        <v>1705</v>
      </c>
      <c r="P473" t="str">
        <f>TEXT(tblOrders[[#This Row],[OrderDate]],"mmm")</f>
        <v>Aug</v>
      </c>
    </row>
    <row r="474" spans="1:16" x14ac:dyDescent="0.25">
      <c r="A474" t="s">
        <v>1031</v>
      </c>
      <c r="B474" s="2">
        <v>45880</v>
      </c>
      <c r="C474" t="s">
        <v>160</v>
      </c>
      <c r="D474" t="s">
        <v>16</v>
      </c>
      <c r="E474" t="s">
        <v>33</v>
      </c>
      <c r="F474" t="s">
        <v>55</v>
      </c>
      <c r="G474">
        <v>10</v>
      </c>
      <c r="H474">
        <v>8000</v>
      </c>
      <c r="I474">
        <v>0</v>
      </c>
      <c r="J474" t="str">
        <f>_xlfn.XLOOKUP(tblOrders[[#This Row],[ProductID]],Products!$A$2:$A$9,Products!$B$2:$B$9,"Unknown")</f>
        <v>Printer</v>
      </c>
      <c r="K474" t="str">
        <f>_xlfn.XLOOKUP(tblOrders[[#This Row],[ProductID]],Products!$A$2:$A$9,Products!$C$2:$C$9,"Unknown")</f>
        <v>Electronics</v>
      </c>
      <c r="L474">
        <f>_xlfn.XLOOKUP(tblOrders[[#This Row],[ProductID]],Products!$A$2:$A$9,Products!$D$2:$D$9,0)</f>
        <v>6200</v>
      </c>
      <c r="M474">
        <f>tblOrders[[#This Row],[Quantity]]*tblOrders[[#This Row],[UnitPrice]]*(1-tblOrders[[#This Row],[Discount]])</f>
        <v>80000</v>
      </c>
      <c r="N474">
        <f>tblOrders[[#This Row],[Quantity]]*tblOrders[[#This Row],[UnitCost]]</f>
        <v>62000</v>
      </c>
      <c r="O474">
        <f>tblOrders[[#This Row],[Revenue]]-tblOrders[[#This Row],[Cost]]</f>
        <v>18000</v>
      </c>
      <c r="P474" t="str">
        <f>TEXT(tblOrders[[#This Row],[OrderDate]],"mmm")</f>
        <v>Aug</v>
      </c>
    </row>
    <row r="475" spans="1:16" x14ac:dyDescent="0.25">
      <c r="A475" t="s">
        <v>974</v>
      </c>
      <c r="B475" s="2">
        <v>45976</v>
      </c>
      <c r="C475" t="s">
        <v>54</v>
      </c>
      <c r="D475" t="s">
        <v>21</v>
      </c>
      <c r="E475" t="s">
        <v>28</v>
      </c>
      <c r="F475" t="s">
        <v>43</v>
      </c>
      <c r="G475">
        <v>12</v>
      </c>
      <c r="H475">
        <v>1500</v>
      </c>
      <c r="I475">
        <v>0.05</v>
      </c>
      <c r="J475" t="str">
        <f>_xlfn.XLOOKUP(tblOrders[[#This Row],[ProductID]],Products!$A$2:$A$9,Products!$B$2:$B$9,"Unknown")</f>
        <v>Webcam</v>
      </c>
      <c r="K475" t="str">
        <f>_xlfn.XLOOKUP(tblOrders[[#This Row],[ProductID]],Products!$A$2:$A$9,Products!$C$2:$C$9,"Unknown")</f>
        <v>Accessories</v>
      </c>
      <c r="L475">
        <f>_xlfn.XLOOKUP(tblOrders[[#This Row],[ProductID]],Products!$A$2:$A$9,Products!$D$2:$D$9,0)</f>
        <v>980</v>
      </c>
      <c r="M475">
        <f>tblOrders[[#This Row],[Quantity]]*tblOrders[[#This Row],[UnitPrice]]*(1-tblOrders[[#This Row],[Discount]])</f>
        <v>17100</v>
      </c>
      <c r="N475">
        <f>tblOrders[[#This Row],[Quantity]]*tblOrders[[#This Row],[UnitCost]]</f>
        <v>11760</v>
      </c>
      <c r="O475">
        <f>tblOrders[[#This Row],[Revenue]]-tblOrders[[#This Row],[Cost]]</f>
        <v>5340</v>
      </c>
      <c r="P475" t="str">
        <f>TEXT(tblOrders[[#This Row],[OrderDate]],"mmm")</f>
        <v>Nov</v>
      </c>
    </row>
    <row r="476" spans="1:16" x14ac:dyDescent="0.25">
      <c r="A476" t="s">
        <v>1049</v>
      </c>
      <c r="B476" s="2">
        <v>45995</v>
      </c>
      <c r="C476" t="s">
        <v>130</v>
      </c>
      <c r="D476" t="s">
        <v>39</v>
      </c>
      <c r="E476" t="s">
        <v>40</v>
      </c>
      <c r="F476" t="s">
        <v>13</v>
      </c>
      <c r="G476">
        <v>15</v>
      </c>
      <c r="H476">
        <v>2000</v>
      </c>
      <c r="I476">
        <v>0.15</v>
      </c>
      <c r="J476" t="str">
        <f>_xlfn.XLOOKUP(tblOrders[[#This Row],[ProductID]],Products!$A$2:$A$9,Products!$B$2:$B$9,"Unknown")</f>
        <v>Headset</v>
      </c>
      <c r="K476" t="str">
        <f>_xlfn.XLOOKUP(tblOrders[[#This Row],[ProductID]],Products!$A$2:$A$9,Products!$C$2:$C$9,"Unknown")</f>
        <v>Accessories</v>
      </c>
      <c r="L476">
        <f>_xlfn.XLOOKUP(tblOrders[[#This Row],[ProductID]],Products!$A$2:$A$9,Products!$D$2:$D$9,0)</f>
        <v>1300</v>
      </c>
      <c r="M476">
        <f>tblOrders[[#This Row],[Quantity]]*tblOrders[[#This Row],[UnitPrice]]*(1-tblOrders[[#This Row],[Discount]])</f>
        <v>25500</v>
      </c>
      <c r="N476">
        <f>tblOrders[[#This Row],[Quantity]]*tblOrders[[#This Row],[UnitCost]]</f>
        <v>19500</v>
      </c>
      <c r="O476">
        <f>tblOrders[[#This Row],[Revenue]]-tblOrders[[#This Row],[Cost]]</f>
        <v>6000</v>
      </c>
      <c r="P476" t="str">
        <f>TEXT(tblOrders[[#This Row],[OrderDate]],"mmm")</f>
        <v>Dec</v>
      </c>
    </row>
    <row r="477" spans="1:16" x14ac:dyDescent="0.25">
      <c r="A477" t="s">
        <v>526</v>
      </c>
      <c r="B477" s="2">
        <v>45809</v>
      </c>
      <c r="C477" t="s">
        <v>52</v>
      </c>
      <c r="D477" t="s">
        <v>11</v>
      </c>
      <c r="E477" t="s">
        <v>46</v>
      </c>
      <c r="F477" t="s">
        <v>43</v>
      </c>
      <c r="G477">
        <v>7</v>
      </c>
      <c r="H477">
        <v>1500</v>
      </c>
      <c r="I477">
        <v>0</v>
      </c>
      <c r="J477" t="str">
        <f>_xlfn.XLOOKUP(tblOrders[[#This Row],[ProductID]],Products!$A$2:$A$9,Products!$B$2:$B$9,"Unknown")</f>
        <v>Webcam</v>
      </c>
      <c r="K477" t="str">
        <f>_xlfn.XLOOKUP(tblOrders[[#This Row],[ProductID]],Products!$A$2:$A$9,Products!$C$2:$C$9,"Unknown")</f>
        <v>Accessories</v>
      </c>
      <c r="L477">
        <f>_xlfn.XLOOKUP(tblOrders[[#This Row],[ProductID]],Products!$A$2:$A$9,Products!$D$2:$D$9,0)</f>
        <v>980</v>
      </c>
      <c r="M477">
        <f>tblOrders[[#This Row],[Quantity]]*tblOrders[[#This Row],[UnitPrice]]*(1-tblOrders[[#This Row],[Discount]])</f>
        <v>10500</v>
      </c>
      <c r="N477">
        <f>tblOrders[[#This Row],[Quantity]]*tblOrders[[#This Row],[UnitCost]]</f>
        <v>6860</v>
      </c>
      <c r="O477">
        <f>tblOrders[[#This Row],[Revenue]]-tblOrders[[#This Row],[Cost]]</f>
        <v>3640</v>
      </c>
      <c r="P477" t="str">
        <f>TEXT(tblOrders[[#This Row],[OrderDate]],"mmm")</f>
        <v>Jun</v>
      </c>
    </row>
    <row r="478" spans="1:16" x14ac:dyDescent="0.25">
      <c r="A478" t="s">
        <v>428</v>
      </c>
      <c r="B478" s="2">
        <v>45773</v>
      </c>
      <c r="C478" t="s">
        <v>15</v>
      </c>
      <c r="D478" t="s">
        <v>21</v>
      </c>
      <c r="E478" t="s">
        <v>22</v>
      </c>
      <c r="F478" t="s">
        <v>64</v>
      </c>
      <c r="G478">
        <v>10</v>
      </c>
      <c r="H478">
        <v>500</v>
      </c>
      <c r="I478">
        <v>0.15</v>
      </c>
      <c r="J478" t="str">
        <f>_xlfn.XLOOKUP(tblOrders[[#This Row],[ProductID]],Products!$A$2:$A$9,Products!$B$2:$B$9,"Unknown")</f>
        <v>Mouse</v>
      </c>
      <c r="K478" t="str">
        <f>_xlfn.XLOOKUP(tblOrders[[#This Row],[ProductID]],Products!$A$2:$A$9,Products!$C$2:$C$9,"Unknown")</f>
        <v>Accessories</v>
      </c>
      <c r="L478">
        <f>_xlfn.XLOOKUP(tblOrders[[#This Row],[ProductID]],Products!$A$2:$A$9,Products!$D$2:$D$9,0)</f>
        <v>320</v>
      </c>
      <c r="M478">
        <f>tblOrders[[#This Row],[Quantity]]*tblOrders[[#This Row],[UnitPrice]]*(1-tblOrders[[#This Row],[Discount]])</f>
        <v>4250</v>
      </c>
      <c r="N478">
        <f>tblOrders[[#This Row],[Quantity]]*tblOrders[[#This Row],[UnitCost]]</f>
        <v>3200</v>
      </c>
      <c r="O478">
        <f>tblOrders[[#This Row],[Revenue]]-tblOrders[[#This Row],[Cost]]</f>
        <v>1050</v>
      </c>
      <c r="P478" t="str">
        <f>TEXT(tblOrders[[#This Row],[OrderDate]],"mmm")</f>
        <v>Apr</v>
      </c>
    </row>
    <row r="479" spans="1:16" x14ac:dyDescent="0.25">
      <c r="A479" t="s">
        <v>1058</v>
      </c>
      <c r="B479" s="2">
        <v>45871</v>
      </c>
      <c r="C479" t="s">
        <v>153</v>
      </c>
      <c r="D479" t="s">
        <v>16</v>
      </c>
      <c r="E479" t="s">
        <v>33</v>
      </c>
      <c r="F479" t="s">
        <v>13</v>
      </c>
      <c r="G479">
        <v>5</v>
      </c>
      <c r="H479">
        <v>2000</v>
      </c>
      <c r="I479">
        <v>0</v>
      </c>
      <c r="J479" t="str">
        <f>_xlfn.XLOOKUP(tblOrders[[#This Row],[ProductID]],Products!$A$2:$A$9,Products!$B$2:$B$9,"Unknown")</f>
        <v>Headset</v>
      </c>
      <c r="K479" t="str">
        <f>_xlfn.XLOOKUP(tblOrders[[#This Row],[ProductID]],Products!$A$2:$A$9,Products!$C$2:$C$9,"Unknown")</f>
        <v>Accessories</v>
      </c>
      <c r="L479">
        <f>_xlfn.XLOOKUP(tblOrders[[#This Row],[ProductID]],Products!$A$2:$A$9,Products!$D$2:$D$9,0)</f>
        <v>1300</v>
      </c>
      <c r="M479">
        <f>tblOrders[[#This Row],[Quantity]]*tblOrders[[#This Row],[UnitPrice]]*(1-tblOrders[[#This Row],[Discount]])</f>
        <v>10000</v>
      </c>
      <c r="N479">
        <f>tblOrders[[#This Row],[Quantity]]*tblOrders[[#This Row],[UnitCost]]</f>
        <v>6500</v>
      </c>
      <c r="O479">
        <f>tblOrders[[#This Row],[Revenue]]-tblOrders[[#This Row],[Cost]]</f>
        <v>3500</v>
      </c>
      <c r="P479" t="str">
        <f>TEXT(tblOrders[[#This Row],[OrderDate]],"mmm")</f>
        <v>Aug</v>
      </c>
    </row>
    <row r="480" spans="1:16" x14ac:dyDescent="0.25">
      <c r="A480" t="s">
        <v>976</v>
      </c>
      <c r="B480" s="2">
        <v>45771</v>
      </c>
      <c r="C480" t="s">
        <v>42</v>
      </c>
      <c r="D480" t="s">
        <v>39</v>
      </c>
      <c r="E480" t="s">
        <v>76</v>
      </c>
      <c r="F480" t="s">
        <v>23</v>
      </c>
      <c r="G480">
        <v>4</v>
      </c>
      <c r="H480">
        <v>900</v>
      </c>
      <c r="I480">
        <v>0.15</v>
      </c>
      <c r="J480" t="str">
        <f>_xlfn.XLOOKUP(tblOrders[[#This Row],[ProductID]],Products!$A$2:$A$9,Products!$B$2:$B$9,"Unknown")</f>
        <v>Keyboard</v>
      </c>
      <c r="K480" t="str">
        <f>_xlfn.XLOOKUP(tblOrders[[#This Row],[ProductID]],Products!$A$2:$A$9,Products!$C$2:$C$9,"Unknown")</f>
        <v>Accessories</v>
      </c>
      <c r="L480">
        <f>_xlfn.XLOOKUP(tblOrders[[#This Row],[ProductID]],Products!$A$2:$A$9,Products!$D$2:$D$9,0)</f>
        <v>600</v>
      </c>
      <c r="M480">
        <f>tblOrders[[#This Row],[Quantity]]*tblOrders[[#This Row],[UnitPrice]]*(1-tblOrders[[#This Row],[Discount]])</f>
        <v>3060</v>
      </c>
      <c r="N480">
        <f>tblOrders[[#This Row],[Quantity]]*tblOrders[[#This Row],[UnitCost]]</f>
        <v>2400</v>
      </c>
      <c r="O480">
        <f>tblOrders[[#This Row],[Revenue]]-tblOrders[[#This Row],[Cost]]</f>
        <v>660</v>
      </c>
      <c r="P480" t="str">
        <f>TEXT(tblOrders[[#This Row],[OrderDate]],"mmm")</f>
        <v>Apr</v>
      </c>
    </row>
    <row r="481" spans="1:16" x14ac:dyDescent="0.25">
      <c r="A481" t="s">
        <v>862</v>
      </c>
      <c r="B481" s="2">
        <v>45688</v>
      </c>
      <c r="C481" t="s">
        <v>138</v>
      </c>
      <c r="D481" t="s">
        <v>39</v>
      </c>
      <c r="E481" t="s">
        <v>76</v>
      </c>
      <c r="F481" t="s">
        <v>34</v>
      </c>
      <c r="G481">
        <v>14</v>
      </c>
      <c r="H481">
        <v>55000</v>
      </c>
      <c r="I481">
        <v>0</v>
      </c>
      <c r="J481" t="str">
        <f>_xlfn.XLOOKUP(tblOrders[[#This Row],[ProductID]],Products!$A$2:$A$9,Products!$B$2:$B$9,"Unknown")</f>
        <v>Laptop</v>
      </c>
      <c r="K481" t="str">
        <f>_xlfn.XLOOKUP(tblOrders[[#This Row],[ProductID]],Products!$A$2:$A$9,Products!$C$2:$C$9,"Unknown")</f>
        <v>Electronics</v>
      </c>
      <c r="L481">
        <f>_xlfn.XLOOKUP(tblOrders[[#This Row],[ProductID]],Products!$A$2:$A$9,Products!$D$2:$D$9,0)</f>
        <v>41000</v>
      </c>
      <c r="M481">
        <f>tblOrders[[#This Row],[Quantity]]*tblOrders[[#This Row],[UnitPrice]]*(1-tblOrders[[#This Row],[Discount]])</f>
        <v>770000</v>
      </c>
      <c r="N481">
        <f>tblOrders[[#This Row],[Quantity]]*tblOrders[[#This Row],[UnitCost]]</f>
        <v>574000</v>
      </c>
      <c r="O481">
        <f>tblOrders[[#This Row],[Revenue]]-tblOrders[[#This Row],[Cost]]</f>
        <v>196000</v>
      </c>
      <c r="P481" t="str">
        <f>TEXT(tblOrders[[#This Row],[OrderDate]],"mmm")</f>
        <v>Jan</v>
      </c>
    </row>
    <row r="482" spans="1:16" x14ac:dyDescent="0.25">
      <c r="A482" t="s">
        <v>438</v>
      </c>
      <c r="B482" s="2">
        <v>45692</v>
      </c>
      <c r="C482" t="s">
        <v>155</v>
      </c>
      <c r="D482" t="s">
        <v>16</v>
      </c>
      <c r="E482" t="s">
        <v>33</v>
      </c>
      <c r="F482" t="s">
        <v>64</v>
      </c>
      <c r="G482">
        <v>10</v>
      </c>
      <c r="H482">
        <v>500</v>
      </c>
      <c r="I482">
        <v>0.05</v>
      </c>
      <c r="J482" t="str">
        <f>_xlfn.XLOOKUP(tblOrders[[#This Row],[ProductID]],Products!$A$2:$A$9,Products!$B$2:$B$9,"Unknown")</f>
        <v>Mouse</v>
      </c>
      <c r="K482" t="str">
        <f>_xlfn.XLOOKUP(tblOrders[[#This Row],[ProductID]],Products!$A$2:$A$9,Products!$C$2:$C$9,"Unknown")</f>
        <v>Accessories</v>
      </c>
      <c r="L482">
        <f>_xlfn.XLOOKUP(tblOrders[[#This Row],[ProductID]],Products!$A$2:$A$9,Products!$D$2:$D$9,0)</f>
        <v>320</v>
      </c>
      <c r="M482">
        <f>tblOrders[[#This Row],[Quantity]]*tblOrders[[#This Row],[UnitPrice]]*(1-tblOrders[[#This Row],[Discount]])</f>
        <v>4750</v>
      </c>
      <c r="N482">
        <f>tblOrders[[#This Row],[Quantity]]*tblOrders[[#This Row],[UnitCost]]</f>
        <v>3200</v>
      </c>
      <c r="O482">
        <f>tblOrders[[#This Row],[Revenue]]-tblOrders[[#This Row],[Cost]]</f>
        <v>1550</v>
      </c>
      <c r="P482" t="str">
        <f>TEXT(tblOrders[[#This Row],[OrderDate]],"mmm")</f>
        <v>Feb</v>
      </c>
    </row>
    <row r="483" spans="1:16" x14ac:dyDescent="0.25">
      <c r="A483" t="s">
        <v>142</v>
      </c>
      <c r="B483" s="2">
        <v>46019</v>
      </c>
      <c r="C483" t="s">
        <v>68</v>
      </c>
      <c r="D483" t="s">
        <v>39</v>
      </c>
      <c r="E483" t="s">
        <v>76</v>
      </c>
      <c r="F483" t="s">
        <v>69</v>
      </c>
      <c r="G483">
        <v>1</v>
      </c>
      <c r="H483">
        <v>12000</v>
      </c>
      <c r="I483">
        <v>0</v>
      </c>
      <c r="J483" t="str">
        <f>_xlfn.XLOOKUP(tblOrders[[#This Row],[ProductID]],Products!$A$2:$A$9,Products!$B$2:$B$9,"Unknown")</f>
        <v>Monitor</v>
      </c>
      <c r="K483" t="str">
        <f>_xlfn.XLOOKUP(tblOrders[[#This Row],[ProductID]],Products!$A$2:$A$9,Products!$C$2:$C$9,"Unknown")</f>
        <v>Electronics</v>
      </c>
      <c r="L483">
        <f>_xlfn.XLOOKUP(tblOrders[[#This Row],[ProductID]],Products!$A$2:$A$9,Products!$D$2:$D$9,0)</f>
        <v>9000</v>
      </c>
      <c r="M483">
        <f>tblOrders[[#This Row],[Quantity]]*tblOrders[[#This Row],[UnitPrice]]*(1-tblOrders[[#This Row],[Discount]])</f>
        <v>12000</v>
      </c>
      <c r="N483">
        <f>tblOrders[[#This Row],[Quantity]]*tblOrders[[#This Row],[UnitCost]]</f>
        <v>9000</v>
      </c>
      <c r="O483">
        <f>tblOrders[[#This Row],[Revenue]]-tblOrders[[#This Row],[Cost]]</f>
        <v>3000</v>
      </c>
      <c r="P483" t="str">
        <f>TEXT(tblOrders[[#This Row],[OrderDate]],"mmm")</f>
        <v>Dec</v>
      </c>
    </row>
    <row r="484" spans="1:16" x14ac:dyDescent="0.25">
      <c r="A484" t="s">
        <v>354</v>
      </c>
      <c r="B484" s="2">
        <v>45918</v>
      </c>
      <c r="C484" t="s">
        <v>135</v>
      </c>
      <c r="D484" t="s">
        <v>21</v>
      </c>
      <c r="E484" t="s">
        <v>28</v>
      </c>
      <c r="F484" t="s">
        <v>23</v>
      </c>
      <c r="G484">
        <v>13</v>
      </c>
      <c r="H484">
        <v>900</v>
      </c>
      <c r="I484">
        <v>0.1</v>
      </c>
      <c r="J484" t="str">
        <f>_xlfn.XLOOKUP(tblOrders[[#This Row],[ProductID]],Products!$A$2:$A$9,Products!$B$2:$B$9,"Unknown")</f>
        <v>Keyboard</v>
      </c>
      <c r="K484" t="str">
        <f>_xlfn.XLOOKUP(tblOrders[[#This Row],[ProductID]],Products!$A$2:$A$9,Products!$C$2:$C$9,"Unknown")</f>
        <v>Accessories</v>
      </c>
      <c r="L484">
        <f>_xlfn.XLOOKUP(tblOrders[[#This Row],[ProductID]],Products!$A$2:$A$9,Products!$D$2:$D$9,0)</f>
        <v>600</v>
      </c>
      <c r="M484">
        <f>tblOrders[[#This Row],[Quantity]]*tblOrders[[#This Row],[UnitPrice]]*(1-tblOrders[[#This Row],[Discount]])</f>
        <v>10530</v>
      </c>
      <c r="N484">
        <f>tblOrders[[#This Row],[Quantity]]*tblOrders[[#This Row],[UnitCost]]</f>
        <v>7800</v>
      </c>
      <c r="O484">
        <f>tblOrders[[#This Row],[Revenue]]-tblOrders[[#This Row],[Cost]]</f>
        <v>2730</v>
      </c>
      <c r="P484" t="str">
        <f>TEXT(tblOrders[[#This Row],[OrderDate]],"mmm")</f>
        <v>Sep</v>
      </c>
    </row>
    <row r="485" spans="1:16" x14ac:dyDescent="0.25">
      <c r="A485" t="s">
        <v>659</v>
      </c>
      <c r="B485" s="2">
        <v>45825</v>
      </c>
      <c r="C485" t="s">
        <v>32</v>
      </c>
      <c r="D485" t="s">
        <v>11</v>
      </c>
      <c r="E485" t="s">
        <v>46</v>
      </c>
      <c r="F485" t="s">
        <v>43</v>
      </c>
      <c r="G485">
        <v>11</v>
      </c>
      <c r="H485">
        <v>1500</v>
      </c>
      <c r="I485">
        <v>0.05</v>
      </c>
      <c r="J485" t="str">
        <f>_xlfn.XLOOKUP(tblOrders[[#This Row],[ProductID]],Products!$A$2:$A$9,Products!$B$2:$B$9,"Unknown")</f>
        <v>Webcam</v>
      </c>
      <c r="K485" t="str">
        <f>_xlfn.XLOOKUP(tblOrders[[#This Row],[ProductID]],Products!$A$2:$A$9,Products!$C$2:$C$9,"Unknown")</f>
        <v>Accessories</v>
      </c>
      <c r="L485">
        <f>_xlfn.XLOOKUP(tblOrders[[#This Row],[ProductID]],Products!$A$2:$A$9,Products!$D$2:$D$9,0)</f>
        <v>980</v>
      </c>
      <c r="M485">
        <f>tblOrders[[#This Row],[Quantity]]*tblOrders[[#This Row],[UnitPrice]]*(1-tblOrders[[#This Row],[Discount]])</f>
        <v>15675</v>
      </c>
      <c r="N485">
        <f>tblOrders[[#This Row],[Quantity]]*tblOrders[[#This Row],[UnitCost]]</f>
        <v>10780</v>
      </c>
      <c r="O485">
        <f>tblOrders[[#This Row],[Revenue]]-tblOrders[[#This Row],[Cost]]</f>
        <v>4895</v>
      </c>
      <c r="P485" t="str">
        <f>TEXT(tblOrders[[#This Row],[OrderDate]],"mmm")</f>
        <v>Jun</v>
      </c>
    </row>
    <row r="486" spans="1:16" x14ac:dyDescent="0.25">
      <c r="A486" t="s">
        <v>719</v>
      </c>
      <c r="B486" s="2">
        <v>46004</v>
      </c>
      <c r="C486" t="s">
        <v>90</v>
      </c>
      <c r="D486" t="s">
        <v>11</v>
      </c>
      <c r="E486" t="s">
        <v>46</v>
      </c>
      <c r="F486" t="s">
        <v>18</v>
      </c>
      <c r="G486">
        <v>10</v>
      </c>
      <c r="H486">
        <v>18000</v>
      </c>
      <c r="I486">
        <v>0</v>
      </c>
      <c r="J486" t="str">
        <f>_xlfn.XLOOKUP(tblOrders[[#This Row],[ProductID]],Products!$A$2:$A$9,Products!$B$2:$B$9,"Unknown")</f>
        <v>Tablet</v>
      </c>
      <c r="K486" t="str">
        <f>_xlfn.XLOOKUP(tblOrders[[#This Row],[ProductID]],Products!$A$2:$A$9,Products!$C$2:$C$9,"Unknown")</f>
        <v>Electronics</v>
      </c>
      <c r="L486">
        <f>_xlfn.XLOOKUP(tblOrders[[#This Row],[ProductID]],Products!$A$2:$A$9,Products!$D$2:$D$9,0)</f>
        <v>13500</v>
      </c>
      <c r="M486">
        <f>tblOrders[[#This Row],[Quantity]]*tblOrders[[#This Row],[UnitPrice]]*(1-tblOrders[[#This Row],[Discount]])</f>
        <v>180000</v>
      </c>
      <c r="N486">
        <f>tblOrders[[#This Row],[Quantity]]*tblOrders[[#This Row],[UnitCost]]</f>
        <v>135000</v>
      </c>
      <c r="O486">
        <f>tblOrders[[#This Row],[Revenue]]-tblOrders[[#This Row],[Cost]]</f>
        <v>45000</v>
      </c>
      <c r="P486" t="str">
        <f>TEXT(tblOrders[[#This Row],[OrderDate]],"mmm")</f>
        <v>Dec</v>
      </c>
    </row>
    <row r="487" spans="1:16" x14ac:dyDescent="0.25">
      <c r="A487" t="s">
        <v>745</v>
      </c>
      <c r="B487" s="2">
        <v>45929</v>
      </c>
      <c r="C487" t="s">
        <v>107</v>
      </c>
      <c r="D487" t="s">
        <v>39</v>
      </c>
      <c r="E487" t="s">
        <v>40</v>
      </c>
      <c r="F487" t="s">
        <v>34</v>
      </c>
      <c r="G487">
        <v>5</v>
      </c>
      <c r="H487">
        <v>55000</v>
      </c>
      <c r="I487">
        <v>0</v>
      </c>
      <c r="J487" t="str">
        <f>_xlfn.XLOOKUP(tblOrders[[#This Row],[ProductID]],Products!$A$2:$A$9,Products!$B$2:$B$9,"Unknown")</f>
        <v>Laptop</v>
      </c>
      <c r="K487" t="str">
        <f>_xlfn.XLOOKUP(tblOrders[[#This Row],[ProductID]],Products!$A$2:$A$9,Products!$C$2:$C$9,"Unknown")</f>
        <v>Electronics</v>
      </c>
      <c r="L487">
        <f>_xlfn.XLOOKUP(tblOrders[[#This Row],[ProductID]],Products!$A$2:$A$9,Products!$D$2:$D$9,0)</f>
        <v>41000</v>
      </c>
      <c r="M487">
        <f>tblOrders[[#This Row],[Quantity]]*tblOrders[[#This Row],[UnitPrice]]*(1-tblOrders[[#This Row],[Discount]])</f>
        <v>275000</v>
      </c>
      <c r="N487">
        <f>tblOrders[[#This Row],[Quantity]]*tblOrders[[#This Row],[UnitCost]]</f>
        <v>205000</v>
      </c>
      <c r="O487">
        <f>tblOrders[[#This Row],[Revenue]]-tblOrders[[#This Row],[Cost]]</f>
        <v>70000</v>
      </c>
      <c r="P487" t="str">
        <f>TEXT(tblOrders[[#This Row],[OrderDate]],"mmm")</f>
        <v>Sep</v>
      </c>
    </row>
    <row r="488" spans="1:16" x14ac:dyDescent="0.25">
      <c r="A488" t="s">
        <v>183</v>
      </c>
      <c r="B488" s="2">
        <v>45696</v>
      </c>
      <c r="C488" t="s">
        <v>132</v>
      </c>
      <c r="D488" t="s">
        <v>21</v>
      </c>
      <c r="E488" t="s">
        <v>28</v>
      </c>
      <c r="F488" t="s">
        <v>23</v>
      </c>
      <c r="G488">
        <v>9</v>
      </c>
      <c r="H488">
        <v>900</v>
      </c>
      <c r="I488">
        <v>0.15</v>
      </c>
      <c r="J488" t="str">
        <f>_xlfn.XLOOKUP(tblOrders[[#This Row],[ProductID]],Products!$A$2:$A$9,Products!$B$2:$B$9,"Unknown")</f>
        <v>Keyboard</v>
      </c>
      <c r="K488" t="str">
        <f>_xlfn.XLOOKUP(tblOrders[[#This Row],[ProductID]],Products!$A$2:$A$9,Products!$C$2:$C$9,"Unknown")</f>
        <v>Accessories</v>
      </c>
      <c r="L488">
        <f>_xlfn.XLOOKUP(tblOrders[[#This Row],[ProductID]],Products!$A$2:$A$9,Products!$D$2:$D$9,0)</f>
        <v>600</v>
      </c>
      <c r="M488">
        <f>tblOrders[[#This Row],[Quantity]]*tblOrders[[#This Row],[UnitPrice]]*(1-tblOrders[[#This Row],[Discount]])</f>
        <v>6885</v>
      </c>
      <c r="N488">
        <f>tblOrders[[#This Row],[Quantity]]*tblOrders[[#This Row],[UnitCost]]</f>
        <v>5400</v>
      </c>
      <c r="O488">
        <f>tblOrders[[#This Row],[Revenue]]-tblOrders[[#This Row],[Cost]]</f>
        <v>1485</v>
      </c>
      <c r="P488" t="str">
        <f>TEXT(tblOrders[[#This Row],[OrderDate]],"mmm")</f>
        <v>Feb</v>
      </c>
    </row>
    <row r="489" spans="1:16" x14ac:dyDescent="0.25">
      <c r="A489" t="s">
        <v>781</v>
      </c>
      <c r="B489" s="2">
        <v>45768</v>
      </c>
      <c r="C489" t="s">
        <v>82</v>
      </c>
      <c r="D489" t="s">
        <v>39</v>
      </c>
      <c r="E489" t="s">
        <v>40</v>
      </c>
      <c r="F489" t="s">
        <v>23</v>
      </c>
      <c r="G489">
        <v>3</v>
      </c>
      <c r="H489">
        <v>900</v>
      </c>
      <c r="I489">
        <v>0</v>
      </c>
      <c r="J489" t="str">
        <f>_xlfn.XLOOKUP(tblOrders[[#This Row],[ProductID]],Products!$A$2:$A$9,Products!$B$2:$B$9,"Unknown")</f>
        <v>Keyboard</v>
      </c>
      <c r="K489" t="str">
        <f>_xlfn.XLOOKUP(tblOrders[[#This Row],[ProductID]],Products!$A$2:$A$9,Products!$C$2:$C$9,"Unknown")</f>
        <v>Accessories</v>
      </c>
      <c r="L489">
        <f>_xlfn.XLOOKUP(tblOrders[[#This Row],[ProductID]],Products!$A$2:$A$9,Products!$D$2:$D$9,0)</f>
        <v>600</v>
      </c>
      <c r="M489">
        <f>tblOrders[[#This Row],[Quantity]]*tblOrders[[#This Row],[UnitPrice]]*(1-tblOrders[[#This Row],[Discount]])</f>
        <v>2700</v>
      </c>
      <c r="N489">
        <f>tblOrders[[#This Row],[Quantity]]*tblOrders[[#This Row],[UnitCost]]</f>
        <v>1800</v>
      </c>
      <c r="O489">
        <f>tblOrders[[#This Row],[Revenue]]-tblOrders[[#This Row],[Cost]]</f>
        <v>900</v>
      </c>
      <c r="P489" t="str">
        <f>TEXT(tblOrders[[#This Row],[OrderDate]],"mmm")</f>
        <v>Apr</v>
      </c>
    </row>
    <row r="490" spans="1:16" x14ac:dyDescent="0.25">
      <c r="A490" t="s">
        <v>938</v>
      </c>
      <c r="B490" s="2">
        <v>45934</v>
      </c>
      <c r="C490" t="s">
        <v>103</v>
      </c>
      <c r="D490" t="s">
        <v>16</v>
      </c>
      <c r="E490" t="s">
        <v>33</v>
      </c>
      <c r="F490" t="s">
        <v>13</v>
      </c>
      <c r="G490">
        <v>11</v>
      </c>
      <c r="H490">
        <v>2000</v>
      </c>
      <c r="I490">
        <v>0.05</v>
      </c>
      <c r="J490" t="str">
        <f>_xlfn.XLOOKUP(tblOrders[[#This Row],[ProductID]],Products!$A$2:$A$9,Products!$B$2:$B$9,"Unknown")</f>
        <v>Headset</v>
      </c>
      <c r="K490" t="str">
        <f>_xlfn.XLOOKUP(tblOrders[[#This Row],[ProductID]],Products!$A$2:$A$9,Products!$C$2:$C$9,"Unknown")</f>
        <v>Accessories</v>
      </c>
      <c r="L490">
        <f>_xlfn.XLOOKUP(tblOrders[[#This Row],[ProductID]],Products!$A$2:$A$9,Products!$D$2:$D$9,0)</f>
        <v>1300</v>
      </c>
      <c r="M490">
        <f>tblOrders[[#This Row],[Quantity]]*tblOrders[[#This Row],[UnitPrice]]*(1-tblOrders[[#This Row],[Discount]])</f>
        <v>20900</v>
      </c>
      <c r="N490">
        <f>tblOrders[[#This Row],[Quantity]]*tblOrders[[#This Row],[UnitCost]]</f>
        <v>14300</v>
      </c>
      <c r="O490">
        <f>tblOrders[[#This Row],[Revenue]]-tblOrders[[#This Row],[Cost]]</f>
        <v>6600</v>
      </c>
      <c r="P490" t="str">
        <f>TEXT(tblOrders[[#This Row],[OrderDate]],"mmm")</f>
        <v>Oct</v>
      </c>
    </row>
    <row r="491" spans="1:16" x14ac:dyDescent="0.25">
      <c r="A491" t="s">
        <v>280</v>
      </c>
      <c r="B491" s="2">
        <v>45978</v>
      </c>
      <c r="C491" t="s">
        <v>261</v>
      </c>
      <c r="D491" t="s">
        <v>11</v>
      </c>
      <c r="E491" t="s">
        <v>12</v>
      </c>
      <c r="F491" t="s">
        <v>55</v>
      </c>
      <c r="G491">
        <v>3</v>
      </c>
      <c r="H491">
        <v>8000</v>
      </c>
      <c r="I491">
        <v>0</v>
      </c>
      <c r="J491" t="str">
        <f>_xlfn.XLOOKUP(tblOrders[[#This Row],[ProductID]],Products!$A$2:$A$9,Products!$B$2:$B$9,"Unknown")</f>
        <v>Printer</v>
      </c>
      <c r="K491" t="str">
        <f>_xlfn.XLOOKUP(tblOrders[[#This Row],[ProductID]],Products!$A$2:$A$9,Products!$C$2:$C$9,"Unknown")</f>
        <v>Electronics</v>
      </c>
      <c r="L491">
        <f>_xlfn.XLOOKUP(tblOrders[[#This Row],[ProductID]],Products!$A$2:$A$9,Products!$D$2:$D$9,0)</f>
        <v>6200</v>
      </c>
      <c r="M491">
        <f>tblOrders[[#This Row],[Quantity]]*tblOrders[[#This Row],[UnitPrice]]*(1-tblOrders[[#This Row],[Discount]])</f>
        <v>24000</v>
      </c>
      <c r="N491">
        <f>tblOrders[[#This Row],[Quantity]]*tblOrders[[#This Row],[UnitCost]]</f>
        <v>18600</v>
      </c>
      <c r="O491">
        <f>tblOrders[[#This Row],[Revenue]]-tblOrders[[#This Row],[Cost]]</f>
        <v>5400</v>
      </c>
      <c r="P491" t="str">
        <f>TEXT(tblOrders[[#This Row],[OrderDate]],"mmm")</f>
        <v>Nov</v>
      </c>
    </row>
    <row r="492" spans="1:16" x14ac:dyDescent="0.25">
      <c r="A492" t="s">
        <v>685</v>
      </c>
      <c r="B492" s="2">
        <v>45984</v>
      </c>
      <c r="C492" t="s">
        <v>50</v>
      </c>
      <c r="D492" t="s">
        <v>21</v>
      </c>
      <c r="E492" t="s">
        <v>22</v>
      </c>
      <c r="F492" t="s">
        <v>55</v>
      </c>
      <c r="G492">
        <v>5</v>
      </c>
      <c r="H492">
        <v>8000</v>
      </c>
      <c r="I492">
        <v>0</v>
      </c>
      <c r="J492" t="str">
        <f>_xlfn.XLOOKUP(tblOrders[[#This Row],[ProductID]],Products!$A$2:$A$9,Products!$B$2:$B$9,"Unknown")</f>
        <v>Printer</v>
      </c>
      <c r="K492" t="str">
        <f>_xlfn.XLOOKUP(tblOrders[[#This Row],[ProductID]],Products!$A$2:$A$9,Products!$C$2:$C$9,"Unknown")</f>
        <v>Electronics</v>
      </c>
      <c r="L492">
        <f>_xlfn.XLOOKUP(tblOrders[[#This Row],[ProductID]],Products!$A$2:$A$9,Products!$D$2:$D$9,0)</f>
        <v>6200</v>
      </c>
      <c r="M492">
        <f>tblOrders[[#This Row],[Quantity]]*tblOrders[[#This Row],[UnitPrice]]*(1-tblOrders[[#This Row],[Discount]])</f>
        <v>40000</v>
      </c>
      <c r="N492">
        <f>tblOrders[[#This Row],[Quantity]]*tblOrders[[#This Row],[UnitCost]]</f>
        <v>31000</v>
      </c>
      <c r="O492">
        <f>tblOrders[[#This Row],[Revenue]]-tblOrders[[#This Row],[Cost]]</f>
        <v>9000</v>
      </c>
      <c r="P492" t="str">
        <f>TEXT(tblOrders[[#This Row],[OrderDate]],"mmm")</f>
        <v>Nov</v>
      </c>
    </row>
    <row r="493" spans="1:16" x14ac:dyDescent="0.25">
      <c r="A493" t="s">
        <v>1044</v>
      </c>
      <c r="B493" s="2">
        <v>46014</v>
      </c>
      <c r="C493" t="s">
        <v>97</v>
      </c>
      <c r="D493" t="s">
        <v>21</v>
      </c>
      <c r="E493" t="s">
        <v>28</v>
      </c>
      <c r="F493" t="s">
        <v>23</v>
      </c>
      <c r="G493">
        <v>14</v>
      </c>
      <c r="H493">
        <v>900</v>
      </c>
      <c r="I493">
        <v>0</v>
      </c>
      <c r="J493" t="str">
        <f>_xlfn.XLOOKUP(tblOrders[[#This Row],[ProductID]],Products!$A$2:$A$9,Products!$B$2:$B$9,"Unknown")</f>
        <v>Keyboard</v>
      </c>
      <c r="K493" t="str">
        <f>_xlfn.XLOOKUP(tblOrders[[#This Row],[ProductID]],Products!$A$2:$A$9,Products!$C$2:$C$9,"Unknown")</f>
        <v>Accessories</v>
      </c>
      <c r="L493">
        <f>_xlfn.XLOOKUP(tblOrders[[#This Row],[ProductID]],Products!$A$2:$A$9,Products!$D$2:$D$9,0)</f>
        <v>600</v>
      </c>
      <c r="M493">
        <f>tblOrders[[#This Row],[Quantity]]*tblOrders[[#This Row],[UnitPrice]]*(1-tblOrders[[#This Row],[Discount]])</f>
        <v>12600</v>
      </c>
      <c r="N493">
        <f>tblOrders[[#This Row],[Quantity]]*tblOrders[[#This Row],[UnitCost]]</f>
        <v>8400</v>
      </c>
      <c r="O493">
        <f>tblOrders[[#This Row],[Revenue]]-tblOrders[[#This Row],[Cost]]</f>
        <v>4200</v>
      </c>
      <c r="P493" t="str">
        <f>TEXT(tblOrders[[#This Row],[OrderDate]],"mmm")</f>
        <v>Dec</v>
      </c>
    </row>
    <row r="494" spans="1:16" x14ac:dyDescent="0.25">
      <c r="A494" t="s">
        <v>991</v>
      </c>
      <c r="B494" s="2">
        <v>46016</v>
      </c>
      <c r="C494" t="s">
        <v>48</v>
      </c>
      <c r="D494" t="s">
        <v>16</v>
      </c>
      <c r="E494" t="s">
        <v>33</v>
      </c>
      <c r="F494" t="s">
        <v>64</v>
      </c>
      <c r="G494">
        <v>13</v>
      </c>
      <c r="H494">
        <v>500</v>
      </c>
      <c r="I494">
        <v>0</v>
      </c>
      <c r="J494" t="str">
        <f>_xlfn.XLOOKUP(tblOrders[[#This Row],[ProductID]],Products!$A$2:$A$9,Products!$B$2:$B$9,"Unknown")</f>
        <v>Mouse</v>
      </c>
      <c r="K494" t="str">
        <f>_xlfn.XLOOKUP(tblOrders[[#This Row],[ProductID]],Products!$A$2:$A$9,Products!$C$2:$C$9,"Unknown")</f>
        <v>Accessories</v>
      </c>
      <c r="L494">
        <f>_xlfn.XLOOKUP(tblOrders[[#This Row],[ProductID]],Products!$A$2:$A$9,Products!$D$2:$D$9,0)</f>
        <v>320</v>
      </c>
      <c r="M494">
        <f>tblOrders[[#This Row],[Quantity]]*tblOrders[[#This Row],[UnitPrice]]*(1-tblOrders[[#This Row],[Discount]])</f>
        <v>6500</v>
      </c>
      <c r="N494">
        <f>tblOrders[[#This Row],[Quantity]]*tblOrders[[#This Row],[UnitCost]]</f>
        <v>4160</v>
      </c>
      <c r="O494">
        <f>tblOrders[[#This Row],[Revenue]]-tblOrders[[#This Row],[Cost]]</f>
        <v>2340</v>
      </c>
      <c r="P494" t="str">
        <f>TEXT(tblOrders[[#This Row],[OrderDate]],"mmm")</f>
        <v>Dec</v>
      </c>
    </row>
    <row r="495" spans="1:16" x14ac:dyDescent="0.25">
      <c r="A495" t="s">
        <v>221</v>
      </c>
      <c r="B495" s="2">
        <v>46017</v>
      </c>
      <c r="C495" t="s">
        <v>32</v>
      </c>
      <c r="D495" t="s">
        <v>16</v>
      </c>
      <c r="E495" t="s">
        <v>33</v>
      </c>
      <c r="F495" t="s">
        <v>222</v>
      </c>
      <c r="G495">
        <v>8</v>
      </c>
      <c r="H495">
        <v>55000</v>
      </c>
      <c r="I495">
        <v>0.1</v>
      </c>
      <c r="J495" t="str">
        <f>_xlfn.XLOOKUP(tblOrders[[#This Row],[ProductID]],Products!$A$2:$A$9,Products!$B$2:$B$9,"Unknown")</f>
        <v>Unknown</v>
      </c>
      <c r="K495" t="str">
        <f>_xlfn.XLOOKUP(tblOrders[[#This Row],[ProductID]],Products!$A$2:$A$9,Products!$C$2:$C$9,"Unknown")</f>
        <v>Unknown</v>
      </c>
      <c r="L495">
        <f>_xlfn.XLOOKUP(tblOrders[[#This Row],[ProductID]],Products!$A$2:$A$9,Products!$D$2:$D$9,0)</f>
        <v>0</v>
      </c>
      <c r="M495">
        <f>tblOrders[[#This Row],[Quantity]]*tblOrders[[#This Row],[UnitPrice]]*(1-tblOrders[[#This Row],[Discount]])</f>
        <v>396000</v>
      </c>
      <c r="N495">
        <f>tblOrders[[#This Row],[Quantity]]*tblOrders[[#This Row],[UnitCost]]</f>
        <v>0</v>
      </c>
      <c r="O495">
        <f>tblOrders[[#This Row],[Revenue]]-tblOrders[[#This Row],[Cost]]</f>
        <v>396000</v>
      </c>
      <c r="P495" t="str">
        <f>TEXT(tblOrders[[#This Row],[OrderDate]],"mmm")</f>
        <v>Dec</v>
      </c>
    </row>
    <row r="496" spans="1:16" x14ac:dyDescent="0.25">
      <c r="A496" t="s">
        <v>287</v>
      </c>
      <c r="B496" s="2">
        <v>45772</v>
      </c>
      <c r="C496" t="s">
        <v>42</v>
      </c>
      <c r="D496" t="s">
        <v>11</v>
      </c>
      <c r="E496" t="s">
        <v>46</v>
      </c>
      <c r="F496" t="s">
        <v>64</v>
      </c>
      <c r="G496">
        <v>3</v>
      </c>
      <c r="H496">
        <v>500</v>
      </c>
      <c r="I496">
        <v>0.15</v>
      </c>
      <c r="J496" t="str">
        <f>_xlfn.XLOOKUP(tblOrders[[#This Row],[ProductID]],Products!$A$2:$A$9,Products!$B$2:$B$9,"Unknown")</f>
        <v>Mouse</v>
      </c>
      <c r="K496" t="str">
        <f>_xlfn.XLOOKUP(tblOrders[[#This Row],[ProductID]],Products!$A$2:$A$9,Products!$C$2:$C$9,"Unknown")</f>
        <v>Accessories</v>
      </c>
      <c r="L496">
        <f>_xlfn.XLOOKUP(tblOrders[[#This Row],[ProductID]],Products!$A$2:$A$9,Products!$D$2:$D$9,0)</f>
        <v>320</v>
      </c>
      <c r="M496">
        <f>tblOrders[[#This Row],[Quantity]]*tblOrders[[#This Row],[UnitPrice]]*(1-tblOrders[[#This Row],[Discount]])</f>
        <v>1275</v>
      </c>
      <c r="N496">
        <f>tblOrders[[#This Row],[Quantity]]*tblOrders[[#This Row],[UnitCost]]</f>
        <v>960</v>
      </c>
      <c r="O496">
        <f>tblOrders[[#This Row],[Revenue]]-tblOrders[[#This Row],[Cost]]</f>
        <v>315</v>
      </c>
      <c r="P496" t="str">
        <f>TEXT(tblOrders[[#This Row],[OrderDate]],"mmm")</f>
        <v>Apr</v>
      </c>
    </row>
    <row r="497" spans="1:16" x14ac:dyDescent="0.25">
      <c r="A497" t="s">
        <v>800</v>
      </c>
      <c r="B497" s="2">
        <v>45883</v>
      </c>
      <c r="C497" t="s">
        <v>42</v>
      </c>
      <c r="D497" t="s">
        <v>39</v>
      </c>
      <c r="E497" t="s">
        <v>40</v>
      </c>
      <c r="F497" t="s">
        <v>69</v>
      </c>
      <c r="G497">
        <v>14</v>
      </c>
      <c r="H497">
        <v>12000</v>
      </c>
      <c r="I497">
        <v>0</v>
      </c>
      <c r="J497" t="str">
        <f>_xlfn.XLOOKUP(tblOrders[[#This Row],[ProductID]],Products!$A$2:$A$9,Products!$B$2:$B$9,"Unknown")</f>
        <v>Monitor</v>
      </c>
      <c r="K497" t="str">
        <f>_xlfn.XLOOKUP(tblOrders[[#This Row],[ProductID]],Products!$A$2:$A$9,Products!$C$2:$C$9,"Unknown")</f>
        <v>Electronics</v>
      </c>
      <c r="L497">
        <f>_xlfn.XLOOKUP(tblOrders[[#This Row],[ProductID]],Products!$A$2:$A$9,Products!$D$2:$D$9,0)</f>
        <v>9000</v>
      </c>
      <c r="M497">
        <f>tblOrders[[#This Row],[Quantity]]*tblOrders[[#This Row],[UnitPrice]]*(1-tblOrders[[#This Row],[Discount]])</f>
        <v>168000</v>
      </c>
      <c r="N497">
        <f>tblOrders[[#This Row],[Quantity]]*tblOrders[[#This Row],[UnitCost]]</f>
        <v>126000</v>
      </c>
      <c r="O497">
        <f>tblOrders[[#This Row],[Revenue]]-tblOrders[[#This Row],[Cost]]</f>
        <v>42000</v>
      </c>
      <c r="P497" t="str">
        <f>TEXT(tblOrders[[#This Row],[OrderDate]],"mmm")</f>
        <v>Aug</v>
      </c>
    </row>
    <row r="498" spans="1:16" x14ac:dyDescent="0.25">
      <c r="A498" t="s">
        <v>1032</v>
      </c>
      <c r="B498" s="2">
        <v>45900</v>
      </c>
      <c r="C498" t="s">
        <v>123</v>
      </c>
      <c r="D498" t="s">
        <v>16</v>
      </c>
      <c r="E498" t="s">
        <v>17</v>
      </c>
      <c r="F498" t="s">
        <v>64</v>
      </c>
      <c r="G498">
        <v>4</v>
      </c>
      <c r="H498">
        <v>500</v>
      </c>
      <c r="I498">
        <v>0</v>
      </c>
      <c r="J498" t="str">
        <f>_xlfn.XLOOKUP(tblOrders[[#This Row],[ProductID]],Products!$A$2:$A$9,Products!$B$2:$B$9,"Unknown")</f>
        <v>Mouse</v>
      </c>
      <c r="K498" t="str">
        <f>_xlfn.XLOOKUP(tblOrders[[#This Row],[ProductID]],Products!$A$2:$A$9,Products!$C$2:$C$9,"Unknown")</f>
        <v>Accessories</v>
      </c>
      <c r="L498">
        <f>_xlfn.XLOOKUP(tblOrders[[#This Row],[ProductID]],Products!$A$2:$A$9,Products!$D$2:$D$9,0)</f>
        <v>320</v>
      </c>
      <c r="M498">
        <f>tblOrders[[#This Row],[Quantity]]*tblOrders[[#This Row],[UnitPrice]]*(1-tblOrders[[#This Row],[Discount]])</f>
        <v>2000</v>
      </c>
      <c r="N498">
        <f>tblOrders[[#This Row],[Quantity]]*tblOrders[[#This Row],[UnitCost]]</f>
        <v>1280</v>
      </c>
      <c r="O498">
        <f>tblOrders[[#This Row],[Revenue]]-tblOrders[[#This Row],[Cost]]</f>
        <v>720</v>
      </c>
      <c r="P498" t="str">
        <f>TEXT(tblOrders[[#This Row],[OrderDate]],"mmm")</f>
        <v>Aug</v>
      </c>
    </row>
    <row r="499" spans="1:16" x14ac:dyDescent="0.25">
      <c r="A499" t="s">
        <v>237</v>
      </c>
      <c r="B499" s="2">
        <v>45903</v>
      </c>
      <c r="C499" t="s">
        <v>238</v>
      </c>
      <c r="D499" t="s">
        <v>16</v>
      </c>
      <c r="E499" t="s">
        <v>17</v>
      </c>
      <c r="F499" t="s">
        <v>34</v>
      </c>
      <c r="G499">
        <v>4</v>
      </c>
      <c r="H499">
        <v>55000</v>
      </c>
      <c r="I499">
        <v>0.05</v>
      </c>
      <c r="J499" t="str">
        <f>_xlfn.XLOOKUP(tblOrders[[#This Row],[ProductID]],Products!$A$2:$A$9,Products!$B$2:$B$9,"Unknown")</f>
        <v>Laptop</v>
      </c>
      <c r="K499" t="str">
        <f>_xlfn.XLOOKUP(tblOrders[[#This Row],[ProductID]],Products!$A$2:$A$9,Products!$C$2:$C$9,"Unknown")</f>
        <v>Electronics</v>
      </c>
      <c r="L499">
        <f>_xlfn.XLOOKUP(tblOrders[[#This Row],[ProductID]],Products!$A$2:$A$9,Products!$D$2:$D$9,0)</f>
        <v>41000</v>
      </c>
      <c r="M499">
        <f>tblOrders[[#This Row],[Quantity]]*tblOrders[[#This Row],[UnitPrice]]*(1-tblOrders[[#This Row],[Discount]])</f>
        <v>209000</v>
      </c>
      <c r="N499">
        <f>tblOrders[[#This Row],[Quantity]]*tblOrders[[#This Row],[UnitCost]]</f>
        <v>164000</v>
      </c>
      <c r="O499">
        <f>tblOrders[[#This Row],[Revenue]]-tblOrders[[#This Row],[Cost]]</f>
        <v>45000</v>
      </c>
      <c r="P499" t="str">
        <f>TEXT(tblOrders[[#This Row],[OrderDate]],"mmm")</f>
        <v>Sep</v>
      </c>
    </row>
    <row r="500" spans="1:16" x14ac:dyDescent="0.25">
      <c r="A500" t="s">
        <v>479</v>
      </c>
      <c r="B500" s="2">
        <v>46014</v>
      </c>
      <c r="C500" t="s">
        <v>10</v>
      </c>
      <c r="D500" t="s">
        <v>21</v>
      </c>
      <c r="E500" t="s">
        <v>28</v>
      </c>
      <c r="F500" t="s">
        <v>34</v>
      </c>
      <c r="G500">
        <v>2</v>
      </c>
      <c r="H500">
        <v>55000</v>
      </c>
      <c r="I500">
        <v>0</v>
      </c>
      <c r="J500" t="str">
        <f>_xlfn.XLOOKUP(tblOrders[[#This Row],[ProductID]],Products!$A$2:$A$9,Products!$B$2:$B$9,"Unknown")</f>
        <v>Laptop</v>
      </c>
      <c r="K500" t="str">
        <f>_xlfn.XLOOKUP(tblOrders[[#This Row],[ProductID]],Products!$A$2:$A$9,Products!$C$2:$C$9,"Unknown")</f>
        <v>Electronics</v>
      </c>
      <c r="L500">
        <f>_xlfn.XLOOKUP(tblOrders[[#This Row],[ProductID]],Products!$A$2:$A$9,Products!$D$2:$D$9,0)</f>
        <v>41000</v>
      </c>
      <c r="M500">
        <f>tblOrders[[#This Row],[Quantity]]*tblOrders[[#This Row],[UnitPrice]]*(1-tblOrders[[#This Row],[Discount]])</f>
        <v>110000</v>
      </c>
      <c r="N500">
        <f>tblOrders[[#This Row],[Quantity]]*tblOrders[[#This Row],[UnitCost]]</f>
        <v>82000</v>
      </c>
      <c r="O500">
        <f>tblOrders[[#This Row],[Revenue]]-tblOrders[[#This Row],[Cost]]</f>
        <v>28000</v>
      </c>
      <c r="P500" t="str">
        <f>TEXT(tblOrders[[#This Row],[OrderDate]],"mmm")</f>
        <v>Dec</v>
      </c>
    </row>
    <row r="501" spans="1:16" x14ac:dyDescent="0.25">
      <c r="A501" t="s">
        <v>928</v>
      </c>
      <c r="B501" s="2">
        <v>45909</v>
      </c>
      <c r="C501" t="s">
        <v>160</v>
      </c>
      <c r="D501" t="s">
        <v>39</v>
      </c>
      <c r="E501" t="s">
        <v>40</v>
      </c>
      <c r="F501" t="s">
        <v>18</v>
      </c>
      <c r="G501">
        <v>13</v>
      </c>
      <c r="H501">
        <v>18000</v>
      </c>
      <c r="I501">
        <v>0</v>
      </c>
      <c r="J501" t="str">
        <f>_xlfn.XLOOKUP(tblOrders[[#This Row],[ProductID]],Products!$A$2:$A$9,Products!$B$2:$B$9,"Unknown")</f>
        <v>Tablet</v>
      </c>
      <c r="K501" t="str">
        <f>_xlfn.XLOOKUP(tblOrders[[#This Row],[ProductID]],Products!$A$2:$A$9,Products!$C$2:$C$9,"Unknown")</f>
        <v>Electronics</v>
      </c>
      <c r="L501">
        <f>_xlfn.XLOOKUP(tblOrders[[#This Row],[ProductID]],Products!$A$2:$A$9,Products!$D$2:$D$9,0)</f>
        <v>13500</v>
      </c>
      <c r="M501">
        <f>tblOrders[[#This Row],[Quantity]]*tblOrders[[#This Row],[UnitPrice]]*(1-tblOrders[[#This Row],[Discount]])</f>
        <v>234000</v>
      </c>
      <c r="N501">
        <f>tblOrders[[#This Row],[Quantity]]*tblOrders[[#This Row],[UnitCost]]</f>
        <v>175500</v>
      </c>
      <c r="O501">
        <f>tblOrders[[#This Row],[Revenue]]-tblOrders[[#This Row],[Cost]]</f>
        <v>58500</v>
      </c>
      <c r="P501" t="str">
        <f>TEXT(tblOrders[[#This Row],[OrderDate]],"mmm")</f>
        <v>Sep</v>
      </c>
    </row>
    <row r="502" spans="1:16" x14ac:dyDescent="0.25">
      <c r="A502" t="s">
        <v>919</v>
      </c>
      <c r="B502" s="2">
        <v>46014</v>
      </c>
      <c r="C502" t="s">
        <v>103</v>
      </c>
      <c r="D502" t="s">
        <v>11</v>
      </c>
      <c r="E502" t="s">
        <v>46</v>
      </c>
      <c r="F502" t="s">
        <v>23</v>
      </c>
      <c r="G502">
        <v>1</v>
      </c>
      <c r="H502">
        <v>900</v>
      </c>
      <c r="I502">
        <v>0.15</v>
      </c>
      <c r="J502" t="str">
        <f>_xlfn.XLOOKUP(tblOrders[[#This Row],[ProductID]],Products!$A$2:$A$9,Products!$B$2:$B$9,"Unknown")</f>
        <v>Keyboard</v>
      </c>
      <c r="K502" t="str">
        <f>_xlfn.XLOOKUP(tblOrders[[#This Row],[ProductID]],Products!$A$2:$A$9,Products!$C$2:$C$9,"Unknown")</f>
        <v>Accessories</v>
      </c>
      <c r="L502">
        <f>_xlfn.XLOOKUP(tblOrders[[#This Row],[ProductID]],Products!$A$2:$A$9,Products!$D$2:$D$9,0)</f>
        <v>600</v>
      </c>
      <c r="M502">
        <f>tblOrders[[#This Row],[Quantity]]*tblOrders[[#This Row],[UnitPrice]]*(1-tblOrders[[#This Row],[Discount]])</f>
        <v>765</v>
      </c>
      <c r="N502">
        <f>tblOrders[[#This Row],[Quantity]]*tblOrders[[#This Row],[UnitCost]]</f>
        <v>600</v>
      </c>
      <c r="O502">
        <f>tblOrders[[#This Row],[Revenue]]-tblOrders[[#This Row],[Cost]]</f>
        <v>165</v>
      </c>
      <c r="P502" t="str">
        <f>TEXT(tblOrders[[#This Row],[OrderDate]],"mmm")</f>
        <v>Dec</v>
      </c>
    </row>
    <row r="503" spans="1:16" x14ac:dyDescent="0.25">
      <c r="A503" t="s">
        <v>178</v>
      </c>
      <c r="B503" s="2">
        <v>45685</v>
      </c>
      <c r="C503" t="s">
        <v>61</v>
      </c>
      <c r="D503" t="s">
        <v>39</v>
      </c>
      <c r="E503" t="s">
        <v>76</v>
      </c>
      <c r="F503" t="s">
        <v>23</v>
      </c>
      <c r="G503">
        <v>4</v>
      </c>
      <c r="H503">
        <v>900</v>
      </c>
      <c r="I503">
        <v>0.1</v>
      </c>
      <c r="J503" t="str">
        <f>_xlfn.XLOOKUP(tblOrders[[#This Row],[ProductID]],Products!$A$2:$A$9,Products!$B$2:$B$9,"Unknown")</f>
        <v>Keyboard</v>
      </c>
      <c r="K503" t="str">
        <f>_xlfn.XLOOKUP(tblOrders[[#This Row],[ProductID]],Products!$A$2:$A$9,Products!$C$2:$C$9,"Unknown")</f>
        <v>Accessories</v>
      </c>
      <c r="L503">
        <f>_xlfn.XLOOKUP(tblOrders[[#This Row],[ProductID]],Products!$A$2:$A$9,Products!$D$2:$D$9,0)</f>
        <v>600</v>
      </c>
      <c r="M503">
        <f>tblOrders[[#This Row],[Quantity]]*tblOrders[[#This Row],[UnitPrice]]*(1-tblOrders[[#This Row],[Discount]])</f>
        <v>3240</v>
      </c>
      <c r="N503">
        <f>tblOrders[[#This Row],[Quantity]]*tblOrders[[#This Row],[UnitCost]]</f>
        <v>2400</v>
      </c>
      <c r="O503">
        <f>tblOrders[[#This Row],[Revenue]]-tblOrders[[#This Row],[Cost]]</f>
        <v>840</v>
      </c>
      <c r="P503" t="str">
        <f>TEXT(tblOrders[[#This Row],[OrderDate]],"mmm")</f>
        <v>Jan</v>
      </c>
    </row>
    <row r="504" spans="1:16" x14ac:dyDescent="0.25">
      <c r="A504" t="s">
        <v>510</v>
      </c>
      <c r="B504" s="2">
        <v>45785</v>
      </c>
      <c r="C504" t="s">
        <v>171</v>
      </c>
      <c r="D504" t="s">
        <v>16</v>
      </c>
      <c r="E504" t="s">
        <v>33</v>
      </c>
      <c r="F504" t="s">
        <v>34</v>
      </c>
      <c r="G504">
        <v>4</v>
      </c>
      <c r="H504">
        <v>55000</v>
      </c>
      <c r="I504">
        <v>0</v>
      </c>
      <c r="J504" t="str">
        <f>_xlfn.XLOOKUP(tblOrders[[#This Row],[ProductID]],Products!$A$2:$A$9,Products!$B$2:$B$9,"Unknown")</f>
        <v>Laptop</v>
      </c>
      <c r="K504" t="str">
        <f>_xlfn.XLOOKUP(tblOrders[[#This Row],[ProductID]],Products!$A$2:$A$9,Products!$C$2:$C$9,"Unknown")</f>
        <v>Electronics</v>
      </c>
      <c r="L504">
        <f>_xlfn.XLOOKUP(tblOrders[[#This Row],[ProductID]],Products!$A$2:$A$9,Products!$D$2:$D$9,0)</f>
        <v>41000</v>
      </c>
      <c r="M504">
        <f>tblOrders[[#This Row],[Quantity]]*tblOrders[[#This Row],[UnitPrice]]*(1-tblOrders[[#This Row],[Discount]])</f>
        <v>220000</v>
      </c>
      <c r="N504">
        <f>tblOrders[[#This Row],[Quantity]]*tblOrders[[#This Row],[UnitCost]]</f>
        <v>164000</v>
      </c>
      <c r="O504">
        <f>tblOrders[[#This Row],[Revenue]]-tblOrders[[#This Row],[Cost]]</f>
        <v>56000</v>
      </c>
      <c r="P504" t="str">
        <f>TEXT(tblOrders[[#This Row],[OrderDate]],"mmm")</f>
        <v>May</v>
      </c>
    </row>
    <row r="505" spans="1:16" x14ac:dyDescent="0.25">
      <c r="A505" t="s">
        <v>295</v>
      </c>
      <c r="B505" s="2">
        <v>45665</v>
      </c>
      <c r="C505" t="s">
        <v>82</v>
      </c>
      <c r="D505" t="s">
        <v>21</v>
      </c>
      <c r="E505" t="s">
        <v>22</v>
      </c>
      <c r="F505" t="s">
        <v>64</v>
      </c>
      <c r="G505">
        <v>5</v>
      </c>
      <c r="H505">
        <v>500</v>
      </c>
      <c r="I505">
        <v>0.05</v>
      </c>
      <c r="J505" t="str">
        <f>_xlfn.XLOOKUP(tblOrders[[#This Row],[ProductID]],Products!$A$2:$A$9,Products!$B$2:$B$9,"Unknown")</f>
        <v>Mouse</v>
      </c>
      <c r="K505" t="str">
        <f>_xlfn.XLOOKUP(tblOrders[[#This Row],[ProductID]],Products!$A$2:$A$9,Products!$C$2:$C$9,"Unknown")</f>
        <v>Accessories</v>
      </c>
      <c r="L505">
        <f>_xlfn.XLOOKUP(tblOrders[[#This Row],[ProductID]],Products!$A$2:$A$9,Products!$D$2:$D$9,0)</f>
        <v>320</v>
      </c>
      <c r="M505">
        <f>tblOrders[[#This Row],[Quantity]]*tblOrders[[#This Row],[UnitPrice]]*(1-tblOrders[[#This Row],[Discount]])</f>
        <v>2375</v>
      </c>
      <c r="N505">
        <f>tblOrders[[#This Row],[Quantity]]*tblOrders[[#This Row],[UnitCost]]</f>
        <v>1600</v>
      </c>
      <c r="O505">
        <f>tblOrders[[#This Row],[Revenue]]-tblOrders[[#This Row],[Cost]]</f>
        <v>775</v>
      </c>
      <c r="P505" t="str">
        <f>TEXT(tblOrders[[#This Row],[OrderDate]],"mmm")</f>
        <v>Jan</v>
      </c>
    </row>
    <row r="506" spans="1:16" x14ac:dyDescent="0.25">
      <c r="A506" t="s">
        <v>898</v>
      </c>
      <c r="B506" s="2">
        <v>45795</v>
      </c>
      <c r="C506" t="s">
        <v>45</v>
      </c>
      <c r="D506" t="s">
        <v>11</v>
      </c>
      <c r="E506" t="s">
        <v>12</v>
      </c>
      <c r="F506" t="s">
        <v>18</v>
      </c>
      <c r="G506">
        <v>3</v>
      </c>
      <c r="H506">
        <v>18000</v>
      </c>
      <c r="I506">
        <v>0</v>
      </c>
      <c r="J506" t="str">
        <f>_xlfn.XLOOKUP(tblOrders[[#This Row],[ProductID]],Products!$A$2:$A$9,Products!$B$2:$B$9,"Unknown")</f>
        <v>Tablet</v>
      </c>
      <c r="K506" t="str">
        <f>_xlfn.XLOOKUP(tblOrders[[#This Row],[ProductID]],Products!$A$2:$A$9,Products!$C$2:$C$9,"Unknown")</f>
        <v>Electronics</v>
      </c>
      <c r="L506">
        <f>_xlfn.XLOOKUP(tblOrders[[#This Row],[ProductID]],Products!$A$2:$A$9,Products!$D$2:$D$9,0)</f>
        <v>13500</v>
      </c>
      <c r="M506">
        <f>tblOrders[[#This Row],[Quantity]]*tblOrders[[#This Row],[UnitPrice]]*(1-tblOrders[[#This Row],[Discount]])</f>
        <v>54000</v>
      </c>
      <c r="N506">
        <f>tblOrders[[#This Row],[Quantity]]*tblOrders[[#This Row],[UnitCost]]</f>
        <v>40500</v>
      </c>
      <c r="O506">
        <f>tblOrders[[#This Row],[Revenue]]-tblOrders[[#This Row],[Cost]]</f>
        <v>13500</v>
      </c>
      <c r="P506" t="str">
        <f>TEXT(tblOrders[[#This Row],[OrderDate]],"mmm")</f>
        <v>May</v>
      </c>
    </row>
    <row r="507" spans="1:16" x14ac:dyDescent="0.25">
      <c r="A507" t="s">
        <v>255</v>
      </c>
      <c r="B507" s="2">
        <v>45817</v>
      </c>
      <c r="C507" t="s">
        <v>162</v>
      </c>
      <c r="D507" t="s">
        <v>39</v>
      </c>
      <c r="E507" t="s">
        <v>76</v>
      </c>
      <c r="F507" t="s">
        <v>55</v>
      </c>
      <c r="G507">
        <v>7</v>
      </c>
      <c r="H507">
        <v>8000</v>
      </c>
      <c r="I507">
        <v>0.05</v>
      </c>
      <c r="J507" t="str">
        <f>_xlfn.XLOOKUP(tblOrders[[#This Row],[ProductID]],Products!$A$2:$A$9,Products!$B$2:$B$9,"Unknown")</f>
        <v>Printer</v>
      </c>
      <c r="K507" t="str">
        <f>_xlfn.XLOOKUP(tblOrders[[#This Row],[ProductID]],Products!$A$2:$A$9,Products!$C$2:$C$9,"Unknown")</f>
        <v>Electronics</v>
      </c>
      <c r="L507">
        <f>_xlfn.XLOOKUP(tblOrders[[#This Row],[ProductID]],Products!$A$2:$A$9,Products!$D$2:$D$9,0)</f>
        <v>6200</v>
      </c>
      <c r="M507">
        <f>tblOrders[[#This Row],[Quantity]]*tblOrders[[#This Row],[UnitPrice]]*(1-tblOrders[[#This Row],[Discount]])</f>
        <v>53200</v>
      </c>
      <c r="N507">
        <f>tblOrders[[#This Row],[Quantity]]*tblOrders[[#This Row],[UnitCost]]</f>
        <v>43400</v>
      </c>
      <c r="O507">
        <f>tblOrders[[#This Row],[Revenue]]-tblOrders[[#This Row],[Cost]]</f>
        <v>9800</v>
      </c>
      <c r="P507" t="str">
        <f>TEXT(tblOrders[[#This Row],[OrderDate]],"mmm")</f>
        <v>Jun</v>
      </c>
    </row>
    <row r="508" spans="1:16" x14ac:dyDescent="0.25">
      <c r="A508" t="s">
        <v>421</v>
      </c>
      <c r="B508" s="2">
        <v>45897</v>
      </c>
      <c r="C508" t="s">
        <v>32</v>
      </c>
      <c r="D508" t="s">
        <v>39</v>
      </c>
      <c r="E508" t="s">
        <v>76</v>
      </c>
      <c r="F508" t="s">
        <v>55</v>
      </c>
      <c r="G508">
        <v>5</v>
      </c>
      <c r="H508">
        <v>8000</v>
      </c>
      <c r="I508">
        <v>0</v>
      </c>
      <c r="J508" t="str">
        <f>_xlfn.XLOOKUP(tblOrders[[#This Row],[ProductID]],Products!$A$2:$A$9,Products!$B$2:$B$9,"Unknown")</f>
        <v>Printer</v>
      </c>
      <c r="K508" t="str">
        <f>_xlfn.XLOOKUP(tblOrders[[#This Row],[ProductID]],Products!$A$2:$A$9,Products!$C$2:$C$9,"Unknown")</f>
        <v>Electronics</v>
      </c>
      <c r="L508">
        <f>_xlfn.XLOOKUP(tblOrders[[#This Row],[ProductID]],Products!$A$2:$A$9,Products!$D$2:$D$9,0)</f>
        <v>6200</v>
      </c>
      <c r="M508">
        <f>tblOrders[[#This Row],[Quantity]]*tblOrders[[#This Row],[UnitPrice]]*(1-tblOrders[[#This Row],[Discount]])</f>
        <v>40000</v>
      </c>
      <c r="N508">
        <f>tblOrders[[#This Row],[Quantity]]*tblOrders[[#This Row],[UnitCost]]</f>
        <v>31000</v>
      </c>
      <c r="O508">
        <f>tblOrders[[#This Row],[Revenue]]-tblOrders[[#This Row],[Cost]]</f>
        <v>9000</v>
      </c>
      <c r="P508" t="str">
        <f>TEXT(tblOrders[[#This Row],[OrderDate]],"mmm")</f>
        <v>Aug</v>
      </c>
    </row>
    <row r="509" spans="1:16" x14ac:dyDescent="0.25">
      <c r="A509" t="s">
        <v>1030</v>
      </c>
      <c r="B509" s="2">
        <v>45858</v>
      </c>
      <c r="C509" t="s">
        <v>32</v>
      </c>
      <c r="D509" t="s">
        <v>21</v>
      </c>
      <c r="E509" t="s">
        <v>22</v>
      </c>
      <c r="F509" t="s">
        <v>34</v>
      </c>
      <c r="G509">
        <v>10</v>
      </c>
      <c r="H509">
        <v>55000</v>
      </c>
      <c r="I509">
        <v>0.05</v>
      </c>
      <c r="J509" t="str">
        <f>_xlfn.XLOOKUP(tblOrders[[#This Row],[ProductID]],Products!$A$2:$A$9,Products!$B$2:$B$9,"Unknown")</f>
        <v>Laptop</v>
      </c>
      <c r="K509" t="str">
        <f>_xlfn.XLOOKUP(tblOrders[[#This Row],[ProductID]],Products!$A$2:$A$9,Products!$C$2:$C$9,"Unknown")</f>
        <v>Electronics</v>
      </c>
      <c r="L509">
        <f>_xlfn.XLOOKUP(tblOrders[[#This Row],[ProductID]],Products!$A$2:$A$9,Products!$D$2:$D$9,0)</f>
        <v>41000</v>
      </c>
      <c r="M509">
        <f>tblOrders[[#This Row],[Quantity]]*tblOrders[[#This Row],[UnitPrice]]*(1-tblOrders[[#This Row],[Discount]])</f>
        <v>522500</v>
      </c>
      <c r="N509">
        <f>tblOrders[[#This Row],[Quantity]]*tblOrders[[#This Row],[UnitCost]]</f>
        <v>410000</v>
      </c>
      <c r="O509">
        <f>tblOrders[[#This Row],[Revenue]]-tblOrders[[#This Row],[Cost]]</f>
        <v>112500</v>
      </c>
      <c r="P509" t="str">
        <f>TEXT(tblOrders[[#This Row],[OrderDate]],"mmm")</f>
        <v>Jul</v>
      </c>
    </row>
    <row r="510" spans="1:16" x14ac:dyDescent="0.25">
      <c r="A510" t="s">
        <v>1050</v>
      </c>
      <c r="B510" s="2">
        <v>45846</v>
      </c>
      <c r="C510" t="s">
        <v>99</v>
      </c>
      <c r="D510" t="s">
        <v>39</v>
      </c>
      <c r="E510" t="s">
        <v>76</v>
      </c>
      <c r="F510" t="s">
        <v>64</v>
      </c>
      <c r="G510">
        <v>12</v>
      </c>
      <c r="H510">
        <v>500</v>
      </c>
      <c r="I510">
        <v>0.05</v>
      </c>
      <c r="J510" t="str">
        <f>_xlfn.XLOOKUP(tblOrders[[#This Row],[ProductID]],Products!$A$2:$A$9,Products!$B$2:$B$9,"Unknown")</f>
        <v>Mouse</v>
      </c>
      <c r="K510" t="str">
        <f>_xlfn.XLOOKUP(tblOrders[[#This Row],[ProductID]],Products!$A$2:$A$9,Products!$C$2:$C$9,"Unknown")</f>
        <v>Accessories</v>
      </c>
      <c r="L510">
        <f>_xlfn.XLOOKUP(tblOrders[[#This Row],[ProductID]],Products!$A$2:$A$9,Products!$D$2:$D$9,0)</f>
        <v>320</v>
      </c>
      <c r="M510">
        <f>tblOrders[[#This Row],[Quantity]]*tblOrders[[#This Row],[UnitPrice]]*(1-tblOrders[[#This Row],[Discount]])</f>
        <v>5700</v>
      </c>
      <c r="N510">
        <f>tblOrders[[#This Row],[Quantity]]*tblOrders[[#This Row],[UnitCost]]</f>
        <v>3840</v>
      </c>
      <c r="O510">
        <f>tblOrders[[#This Row],[Revenue]]-tblOrders[[#This Row],[Cost]]</f>
        <v>1860</v>
      </c>
      <c r="P510" t="str">
        <f>TEXT(tblOrders[[#This Row],[OrderDate]],"mmm")</f>
        <v>Jul</v>
      </c>
    </row>
    <row r="511" spans="1:16" x14ac:dyDescent="0.25">
      <c r="A511" t="s">
        <v>876</v>
      </c>
      <c r="B511" s="2">
        <v>45914</v>
      </c>
      <c r="C511" t="s">
        <v>66</v>
      </c>
      <c r="D511" t="s">
        <v>11</v>
      </c>
      <c r="E511" t="s">
        <v>46</v>
      </c>
      <c r="F511" t="s">
        <v>55</v>
      </c>
      <c r="G511">
        <v>2</v>
      </c>
      <c r="H511">
        <v>8000</v>
      </c>
      <c r="I511">
        <v>0</v>
      </c>
      <c r="J511" t="str">
        <f>_xlfn.XLOOKUP(tblOrders[[#This Row],[ProductID]],Products!$A$2:$A$9,Products!$B$2:$B$9,"Unknown")</f>
        <v>Printer</v>
      </c>
      <c r="K511" t="str">
        <f>_xlfn.XLOOKUP(tblOrders[[#This Row],[ProductID]],Products!$A$2:$A$9,Products!$C$2:$C$9,"Unknown")</f>
        <v>Electronics</v>
      </c>
      <c r="L511">
        <f>_xlfn.XLOOKUP(tblOrders[[#This Row],[ProductID]],Products!$A$2:$A$9,Products!$D$2:$D$9,0)</f>
        <v>6200</v>
      </c>
      <c r="M511">
        <f>tblOrders[[#This Row],[Quantity]]*tblOrders[[#This Row],[UnitPrice]]*(1-tblOrders[[#This Row],[Discount]])</f>
        <v>16000</v>
      </c>
      <c r="N511">
        <f>tblOrders[[#This Row],[Quantity]]*tblOrders[[#This Row],[UnitCost]]</f>
        <v>12400</v>
      </c>
      <c r="O511">
        <f>tblOrders[[#This Row],[Revenue]]-tblOrders[[#This Row],[Cost]]</f>
        <v>3600</v>
      </c>
      <c r="P511" t="str">
        <f>TEXT(tblOrders[[#This Row],[OrderDate]],"mmm")</f>
        <v>Sep</v>
      </c>
    </row>
    <row r="512" spans="1:16" x14ac:dyDescent="0.25">
      <c r="A512" t="s">
        <v>896</v>
      </c>
      <c r="B512" s="2">
        <v>45936</v>
      </c>
      <c r="C512" t="s">
        <v>195</v>
      </c>
      <c r="D512" t="s">
        <v>39</v>
      </c>
      <c r="E512" t="s">
        <v>76</v>
      </c>
      <c r="F512" t="s">
        <v>23</v>
      </c>
      <c r="G512">
        <v>1</v>
      </c>
      <c r="H512">
        <v>900</v>
      </c>
      <c r="I512">
        <v>0</v>
      </c>
      <c r="J512" t="str">
        <f>_xlfn.XLOOKUP(tblOrders[[#This Row],[ProductID]],Products!$A$2:$A$9,Products!$B$2:$B$9,"Unknown")</f>
        <v>Keyboard</v>
      </c>
      <c r="K512" t="str">
        <f>_xlfn.XLOOKUP(tblOrders[[#This Row],[ProductID]],Products!$A$2:$A$9,Products!$C$2:$C$9,"Unknown")</f>
        <v>Accessories</v>
      </c>
      <c r="L512">
        <f>_xlfn.XLOOKUP(tblOrders[[#This Row],[ProductID]],Products!$A$2:$A$9,Products!$D$2:$D$9,0)</f>
        <v>600</v>
      </c>
      <c r="M512">
        <f>tblOrders[[#This Row],[Quantity]]*tblOrders[[#This Row],[UnitPrice]]*(1-tblOrders[[#This Row],[Discount]])</f>
        <v>900</v>
      </c>
      <c r="N512">
        <f>tblOrders[[#This Row],[Quantity]]*tblOrders[[#This Row],[UnitCost]]</f>
        <v>600</v>
      </c>
      <c r="O512">
        <f>tblOrders[[#This Row],[Revenue]]-tblOrders[[#This Row],[Cost]]</f>
        <v>300</v>
      </c>
      <c r="P512" t="str">
        <f>TEXT(tblOrders[[#This Row],[OrderDate]],"mmm")</f>
        <v>Oct</v>
      </c>
    </row>
    <row r="513" spans="1:16" x14ac:dyDescent="0.25">
      <c r="A513" t="s">
        <v>803</v>
      </c>
      <c r="B513" s="2">
        <v>45696</v>
      </c>
      <c r="C513" t="s">
        <v>63</v>
      </c>
      <c r="D513" t="s">
        <v>21</v>
      </c>
      <c r="E513" t="s">
        <v>28</v>
      </c>
      <c r="F513" t="s">
        <v>34</v>
      </c>
      <c r="G513">
        <v>14</v>
      </c>
      <c r="H513">
        <v>55000</v>
      </c>
      <c r="I513">
        <v>0</v>
      </c>
      <c r="J513" t="str">
        <f>_xlfn.XLOOKUP(tblOrders[[#This Row],[ProductID]],Products!$A$2:$A$9,Products!$B$2:$B$9,"Unknown")</f>
        <v>Laptop</v>
      </c>
      <c r="K513" t="str">
        <f>_xlfn.XLOOKUP(tblOrders[[#This Row],[ProductID]],Products!$A$2:$A$9,Products!$C$2:$C$9,"Unknown")</f>
        <v>Electronics</v>
      </c>
      <c r="L513">
        <f>_xlfn.XLOOKUP(tblOrders[[#This Row],[ProductID]],Products!$A$2:$A$9,Products!$D$2:$D$9,0)</f>
        <v>41000</v>
      </c>
      <c r="M513">
        <f>tblOrders[[#This Row],[Quantity]]*tblOrders[[#This Row],[UnitPrice]]*(1-tblOrders[[#This Row],[Discount]])</f>
        <v>770000</v>
      </c>
      <c r="N513">
        <f>tblOrders[[#This Row],[Quantity]]*tblOrders[[#This Row],[UnitCost]]</f>
        <v>574000</v>
      </c>
      <c r="O513">
        <f>tblOrders[[#This Row],[Revenue]]-tblOrders[[#This Row],[Cost]]</f>
        <v>196000</v>
      </c>
      <c r="P513" t="str">
        <f>TEXT(tblOrders[[#This Row],[OrderDate]],"mmm")</f>
        <v>Feb</v>
      </c>
    </row>
    <row r="514" spans="1:16" x14ac:dyDescent="0.25">
      <c r="A514" t="s">
        <v>642</v>
      </c>
      <c r="B514" s="2">
        <v>45985</v>
      </c>
      <c r="C514" t="s">
        <v>82</v>
      </c>
      <c r="D514" t="s">
        <v>21</v>
      </c>
      <c r="E514" t="s">
        <v>22</v>
      </c>
      <c r="F514" t="s">
        <v>43</v>
      </c>
      <c r="G514">
        <v>9</v>
      </c>
      <c r="H514">
        <v>1500</v>
      </c>
      <c r="I514">
        <v>0.05</v>
      </c>
      <c r="J514" t="str">
        <f>_xlfn.XLOOKUP(tblOrders[[#This Row],[ProductID]],Products!$A$2:$A$9,Products!$B$2:$B$9,"Unknown")</f>
        <v>Webcam</v>
      </c>
      <c r="K514" t="str">
        <f>_xlfn.XLOOKUP(tblOrders[[#This Row],[ProductID]],Products!$A$2:$A$9,Products!$C$2:$C$9,"Unknown")</f>
        <v>Accessories</v>
      </c>
      <c r="L514">
        <f>_xlfn.XLOOKUP(tblOrders[[#This Row],[ProductID]],Products!$A$2:$A$9,Products!$D$2:$D$9,0)</f>
        <v>980</v>
      </c>
      <c r="M514">
        <f>tblOrders[[#This Row],[Quantity]]*tblOrders[[#This Row],[UnitPrice]]*(1-tblOrders[[#This Row],[Discount]])</f>
        <v>12825</v>
      </c>
      <c r="N514">
        <f>tblOrders[[#This Row],[Quantity]]*tblOrders[[#This Row],[UnitCost]]</f>
        <v>8820</v>
      </c>
      <c r="O514">
        <f>tblOrders[[#This Row],[Revenue]]-tblOrders[[#This Row],[Cost]]</f>
        <v>4005</v>
      </c>
      <c r="P514" t="str">
        <f>TEXT(tblOrders[[#This Row],[OrderDate]],"mmm")</f>
        <v>Nov</v>
      </c>
    </row>
    <row r="515" spans="1:16" x14ac:dyDescent="0.25">
      <c r="A515" t="s">
        <v>796</v>
      </c>
      <c r="B515" s="2">
        <v>45956</v>
      </c>
      <c r="C515" t="s">
        <v>73</v>
      </c>
      <c r="D515" t="s">
        <v>11</v>
      </c>
      <c r="E515" t="s">
        <v>12</v>
      </c>
      <c r="F515" t="s">
        <v>18</v>
      </c>
      <c r="G515">
        <v>8</v>
      </c>
      <c r="H515">
        <v>18000</v>
      </c>
      <c r="I515">
        <v>0.15</v>
      </c>
      <c r="J515" t="str">
        <f>_xlfn.XLOOKUP(tblOrders[[#This Row],[ProductID]],Products!$A$2:$A$9,Products!$B$2:$B$9,"Unknown")</f>
        <v>Tablet</v>
      </c>
      <c r="K515" t="str">
        <f>_xlfn.XLOOKUP(tblOrders[[#This Row],[ProductID]],Products!$A$2:$A$9,Products!$C$2:$C$9,"Unknown")</f>
        <v>Electronics</v>
      </c>
      <c r="L515">
        <f>_xlfn.XLOOKUP(tblOrders[[#This Row],[ProductID]],Products!$A$2:$A$9,Products!$D$2:$D$9,0)</f>
        <v>13500</v>
      </c>
      <c r="M515">
        <f>tblOrders[[#This Row],[Quantity]]*tblOrders[[#This Row],[UnitPrice]]*(1-tblOrders[[#This Row],[Discount]])</f>
        <v>122400</v>
      </c>
      <c r="N515">
        <f>tblOrders[[#This Row],[Quantity]]*tblOrders[[#This Row],[UnitCost]]</f>
        <v>108000</v>
      </c>
      <c r="O515">
        <f>tblOrders[[#This Row],[Revenue]]-tblOrders[[#This Row],[Cost]]</f>
        <v>14400</v>
      </c>
      <c r="P515" t="str">
        <f>TEXT(tblOrders[[#This Row],[OrderDate]],"mmm")</f>
        <v>Oct</v>
      </c>
    </row>
    <row r="516" spans="1:16" x14ac:dyDescent="0.25">
      <c r="A516" t="s">
        <v>166</v>
      </c>
      <c r="B516" s="2">
        <v>46003</v>
      </c>
      <c r="C516" t="s">
        <v>52</v>
      </c>
      <c r="D516" t="s">
        <v>39</v>
      </c>
      <c r="E516" t="s">
        <v>76</v>
      </c>
      <c r="F516" t="s">
        <v>55</v>
      </c>
      <c r="G516">
        <v>15</v>
      </c>
      <c r="H516">
        <v>8000</v>
      </c>
      <c r="I516">
        <v>0.05</v>
      </c>
      <c r="J516" t="str">
        <f>_xlfn.XLOOKUP(tblOrders[[#This Row],[ProductID]],Products!$A$2:$A$9,Products!$B$2:$B$9,"Unknown")</f>
        <v>Printer</v>
      </c>
      <c r="K516" t="str">
        <f>_xlfn.XLOOKUP(tblOrders[[#This Row],[ProductID]],Products!$A$2:$A$9,Products!$C$2:$C$9,"Unknown")</f>
        <v>Electronics</v>
      </c>
      <c r="L516">
        <f>_xlfn.XLOOKUP(tblOrders[[#This Row],[ProductID]],Products!$A$2:$A$9,Products!$D$2:$D$9,0)</f>
        <v>6200</v>
      </c>
      <c r="M516">
        <f>tblOrders[[#This Row],[Quantity]]*tblOrders[[#This Row],[UnitPrice]]*(1-tblOrders[[#This Row],[Discount]])</f>
        <v>114000</v>
      </c>
      <c r="N516">
        <f>tblOrders[[#This Row],[Quantity]]*tblOrders[[#This Row],[UnitCost]]</f>
        <v>93000</v>
      </c>
      <c r="O516">
        <f>tblOrders[[#This Row],[Revenue]]-tblOrders[[#This Row],[Cost]]</f>
        <v>21000</v>
      </c>
      <c r="P516" t="str">
        <f>TEXT(tblOrders[[#This Row],[OrderDate]],"mmm")</f>
        <v>Dec</v>
      </c>
    </row>
    <row r="517" spans="1:16" x14ac:dyDescent="0.25">
      <c r="A517" t="s">
        <v>608</v>
      </c>
      <c r="B517" s="2">
        <v>45953</v>
      </c>
      <c r="C517" t="s">
        <v>207</v>
      </c>
      <c r="D517" t="s">
        <v>21</v>
      </c>
      <c r="E517" t="s">
        <v>22</v>
      </c>
      <c r="F517" t="s">
        <v>34</v>
      </c>
      <c r="G517">
        <v>4</v>
      </c>
      <c r="H517">
        <v>55000</v>
      </c>
      <c r="I517">
        <v>0.15</v>
      </c>
      <c r="J517" t="str">
        <f>_xlfn.XLOOKUP(tblOrders[[#This Row],[ProductID]],Products!$A$2:$A$9,Products!$B$2:$B$9,"Unknown")</f>
        <v>Laptop</v>
      </c>
      <c r="K517" t="str">
        <f>_xlfn.XLOOKUP(tblOrders[[#This Row],[ProductID]],Products!$A$2:$A$9,Products!$C$2:$C$9,"Unknown")</f>
        <v>Electronics</v>
      </c>
      <c r="L517">
        <f>_xlfn.XLOOKUP(tblOrders[[#This Row],[ProductID]],Products!$A$2:$A$9,Products!$D$2:$D$9,0)</f>
        <v>41000</v>
      </c>
      <c r="M517">
        <f>tblOrders[[#This Row],[Quantity]]*tblOrders[[#This Row],[UnitPrice]]*(1-tblOrders[[#This Row],[Discount]])</f>
        <v>187000</v>
      </c>
      <c r="N517">
        <f>tblOrders[[#This Row],[Quantity]]*tblOrders[[#This Row],[UnitCost]]</f>
        <v>164000</v>
      </c>
      <c r="O517">
        <f>tblOrders[[#This Row],[Revenue]]-tblOrders[[#This Row],[Cost]]</f>
        <v>23000</v>
      </c>
      <c r="P517" t="str">
        <f>TEXT(tblOrders[[#This Row],[OrderDate]],"mmm")</f>
        <v>Oct</v>
      </c>
    </row>
    <row r="518" spans="1:16" x14ac:dyDescent="0.25">
      <c r="A518" t="s">
        <v>1061</v>
      </c>
      <c r="B518" s="2">
        <v>45967</v>
      </c>
      <c r="C518" t="s">
        <v>135</v>
      </c>
      <c r="D518" t="s">
        <v>21</v>
      </c>
      <c r="E518" t="s">
        <v>22</v>
      </c>
      <c r="F518" t="s">
        <v>55</v>
      </c>
      <c r="G518">
        <v>13</v>
      </c>
      <c r="H518">
        <v>8000</v>
      </c>
      <c r="I518">
        <v>0</v>
      </c>
      <c r="J518" t="str">
        <f>_xlfn.XLOOKUP(tblOrders[[#This Row],[ProductID]],Products!$A$2:$A$9,Products!$B$2:$B$9,"Unknown")</f>
        <v>Printer</v>
      </c>
      <c r="K518" t="str">
        <f>_xlfn.XLOOKUP(tblOrders[[#This Row],[ProductID]],Products!$A$2:$A$9,Products!$C$2:$C$9,"Unknown")</f>
        <v>Electronics</v>
      </c>
      <c r="L518">
        <f>_xlfn.XLOOKUP(tblOrders[[#This Row],[ProductID]],Products!$A$2:$A$9,Products!$D$2:$D$9,0)</f>
        <v>6200</v>
      </c>
      <c r="M518">
        <f>tblOrders[[#This Row],[Quantity]]*tblOrders[[#This Row],[UnitPrice]]*(1-tblOrders[[#This Row],[Discount]])</f>
        <v>104000</v>
      </c>
      <c r="N518">
        <f>tblOrders[[#This Row],[Quantity]]*tblOrders[[#This Row],[UnitCost]]</f>
        <v>80600</v>
      </c>
      <c r="O518">
        <f>tblOrders[[#This Row],[Revenue]]-tblOrders[[#This Row],[Cost]]</f>
        <v>23400</v>
      </c>
      <c r="P518" t="str">
        <f>TEXT(tblOrders[[#This Row],[OrderDate]],"mmm")</f>
        <v>Nov</v>
      </c>
    </row>
    <row r="519" spans="1:16" x14ac:dyDescent="0.25">
      <c r="A519" t="s">
        <v>795</v>
      </c>
      <c r="B519" s="2">
        <v>45944</v>
      </c>
      <c r="C519" t="s">
        <v>57</v>
      </c>
      <c r="D519" t="s">
        <v>21</v>
      </c>
      <c r="E519" t="s">
        <v>22</v>
      </c>
      <c r="F519" t="s">
        <v>69</v>
      </c>
      <c r="G519">
        <v>5</v>
      </c>
      <c r="H519">
        <v>12000</v>
      </c>
      <c r="I519">
        <v>0</v>
      </c>
      <c r="J519" t="str">
        <f>_xlfn.XLOOKUP(tblOrders[[#This Row],[ProductID]],Products!$A$2:$A$9,Products!$B$2:$B$9,"Unknown")</f>
        <v>Monitor</v>
      </c>
      <c r="K519" t="str">
        <f>_xlfn.XLOOKUP(tblOrders[[#This Row],[ProductID]],Products!$A$2:$A$9,Products!$C$2:$C$9,"Unknown")</f>
        <v>Electronics</v>
      </c>
      <c r="L519">
        <f>_xlfn.XLOOKUP(tblOrders[[#This Row],[ProductID]],Products!$A$2:$A$9,Products!$D$2:$D$9,0)</f>
        <v>9000</v>
      </c>
      <c r="M519">
        <f>tblOrders[[#This Row],[Quantity]]*tblOrders[[#This Row],[UnitPrice]]*(1-tblOrders[[#This Row],[Discount]])</f>
        <v>60000</v>
      </c>
      <c r="N519">
        <f>tblOrders[[#This Row],[Quantity]]*tblOrders[[#This Row],[UnitCost]]</f>
        <v>45000</v>
      </c>
      <c r="O519">
        <f>tblOrders[[#This Row],[Revenue]]-tblOrders[[#This Row],[Cost]]</f>
        <v>15000</v>
      </c>
      <c r="P519" t="str">
        <f>TEXT(tblOrders[[#This Row],[OrderDate]],"mmm")</f>
        <v>Oct</v>
      </c>
    </row>
    <row r="520" spans="1:16" x14ac:dyDescent="0.25">
      <c r="A520" t="s">
        <v>735</v>
      </c>
      <c r="B520" s="2">
        <v>45742</v>
      </c>
      <c r="C520" t="s">
        <v>63</v>
      </c>
      <c r="D520" t="s">
        <v>21</v>
      </c>
      <c r="E520" t="s">
        <v>22</v>
      </c>
      <c r="F520" t="s">
        <v>64</v>
      </c>
      <c r="G520">
        <v>1</v>
      </c>
      <c r="H520">
        <v>500</v>
      </c>
      <c r="I520">
        <v>0.15</v>
      </c>
      <c r="J520" t="str">
        <f>_xlfn.XLOOKUP(tblOrders[[#This Row],[ProductID]],Products!$A$2:$A$9,Products!$B$2:$B$9,"Unknown")</f>
        <v>Mouse</v>
      </c>
      <c r="K520" t="str">
        <f>_xlfn.XLOOKUP(tblOrders[[#This Row],[ProductID]],Products!$A$2:$A$9,Products!$C$2:$C$9,"Unknown")</f>
        <v>Accessories</v>
      </c>
      <c r="L520">
        <f>_xlfn.XLOOKUP(tblOrders[[#This Row],[ProductID]],Products!$A$2:$A$9,Products!$D$2:$D$9,0)</f>
        <v>320</v>
      </c>
      <c r="M520">
        <f>tblOrders[[#This Row],[Quantity]]*tblOrders[[#This Row],[UnitPrice]]*(1-tblOrders[[#This Row],[Discount]])</f>
        <v>425</v>
      </c>
      <c r="N520">
        <f>tblOrders[[#This Row],[Quantity]]*tblOrders[[#This Row],[UnitCost]]</f>
        <v>320</v>
      </c>
      <c r="O520">
        <f>tblOrders[[#This Row],[Revenue]]-tblOrders[[#This Row],[Cost]]</f>
        <v>105</v>
      </c>
      <c r="P520" t="str">
        <f>TEXT(tblOrders[[#This Row],[OrderDate]],"mmm")</f>
        <v>Mar</v>
      </c>
    </row>
    <row r="521" spans="1:16" x14ac:dyDescent="0.25">
      <c r="A521" t="s">
        <v>168</v>
      </c>
      <c r="B521" s="2">
        <v>45761</v>
      </c>
      <c r="C521" t="s">
        <v>52</v>
      </c>
      <c r="D521" t="s">
        <v>21</v>
      </c>
      <c r="E521" t="s">
        <v>28</v>
      </c>
      <c r="F521" t="s">
        <v>69</v>
      </c>
      <c r="G521">
        <v>15</v>
      </c>
      <c r="H521">
        <v>12000</v>
      </c>
      <c r="I521">
        <v>0.05</v>
      </c>
      <c r="J521" t="str">
        <f>_xlfn.XLOOKUP(tblOrders[[#This Row],[ProductID]],Products!$A$2:$A$9,Products!$B$2:$B$9,"Unknown")</f>
        <v>Monitor</v>
      </c>
      <c r="K521" t="str">
        <f>_xlfn.XLOOKUP(tblOrders[[#This Row],[ProductID]],Products!$A$2:$A$9,Products!$C$2:$C$9,"Unknown")</f>
        <v>Electronics</v>
      </c>
      <c r="L521">
        <f>_xlfn.XLOOKUP(tblOrders[[#This Row],[ProductID]],Products!$A$2:$A$9,Products!$D$2:$D$9,0)</f>
        <v>9000</v>
      </c>
      <c r="M521">
        <f>tblOrders[[#This Row],[Quantity]]*tblOrders[[#This Row],[UnitPrice]]*(1-tblOrders[[#This Row],[Discount]])</f>
        <v>171000</v>
      </c>
      <c r="N521">
        <f>tblOrders[[#This Row],[Quantity]]*tblOrders[[#This Row],[UnitCost]]</f>
        <v>135000</v>
      </c>
      <c r="O521">
        <f>tblOrders[[#This Row],[Revenue]]-tblOrders[[#This Row],[Cost]]</f>
        <v>36000</v>
      </c>
      <c r="P521" t="str">
        <f>TEXT(tblOrders[[#This Row],[OrderDate]],"mmm")</f>
        <v>Apr</v>
      </c>
    </row>
    <row r="522" spans="1:16" x14ac:dyDescent="0.25">
      <c r="A522" t="s">
        <v>924</v>
      </c>
      <c r="B522" s="2">
        <v>45790</v>
      </c>
      <c r="C522" t="s">
        <v>153</v>
      </c>
      <c r="D522" t="s">
        <v>11</v>
      </c>
      <c r="E522" t="s">
        <v>12</v>
      </c>
      <c r="F522" t="s">
        <v>64</v>
      </c>
      <c r="G522">
        <v>11</v>
      </c>
      <c r="H522">
        <v>500</v>
      </c>
      <c r="I522">
        <v>0</v>
      </c>
      <c r="J522" t="str">
        <f>_xlfn.XLOOKUP(tblOrders[[#This Row],[ProductID]],Products!$A$2:$A$9,Products!$B$2:$B$9,"Unknown")</f>
        <v>Mouse</v>
      </c>
      <c r="K522" t="str">
        <f>_xlfn.XLOOKUP(tblOrders[[#This Row],[ProductID]],Products!$A$2:$A$9,Products!$C$2:$C$9,"Unknown")</f>
        <v>Accessories</v>
      </c>
      <c r="L522">
        <f>_xlfn.XLOOKUP(tblOrders[[#This Row],[ProductID]],Products!$A$2:$A$9,Products!$D$2:$D$9,0)</f>
        <v>320</v>
      </c>
      <c r="M522">
        <f>tblOrders[[#This Row],[Quantity]]*tblOrders[[#This Row],[UnitPrice]]*(1-tblOrders[[#This Row],[Discount]])</f>
        <v>5500</v>
      </c>
      <c r="N522">
        <f>tblOrders[[#This Row],[Quantity]]*tblOrders[[#This Row],[UnitCost]]</f>
        <v>3520</v>
      </c>
      <c r="O522">
        <f>tblOrders[[#This Row],[Revenue]]-tblOrders[[#This Row],[Cost]]</f>
        <v>1980</v>
      </c>
      <c r="P522" t="str">
        <f>TEXT(tblOrders[[#This Row],[OrderDate]],"mmm")</f>
        <v>May</v>
      </c>
    </row>
    <row r="523" spans="1:16" x14ac:dyDescent="0.25">
      <c r="A523" t="s">
        <v>910</v>
      </c>
      <c r="B523" s="2">
        <v>46008</v>
      </c>
      <c r="C523" t="s">
        <v>155</v>
      </c>
      <c r="D523" t="s">
        <v>21</v>
      </c>
      <c r="E523" t="s">
        <v>28</v>
      </c>
      <c r="F523" t="s">
        <v>23</v>
      </c>
      <c r="G523">
        <v>7</v>
      </c>
      <c r="H523">
        <v>900</v>
      </c>
      <c r="I523">
        <v>0.15</v>
      </c>
      <c r="J523" t="str">
        <f>_xlfn.XLOOKUP(tblOrders[[#This Row],[ProductID]],Products!$A$2:$A$9,Products!$B$2:$B$9,"Unknown")</f>
        <v>Keyboard</v>
      </c>
      <c r="K523" t="str">
        <f>_xlfn.XLOOKUP(tblOrders[[#This Row],[ProductID]],Products!$A$2:$A$9,Products!$C$2:$C$9,"Unknown")</f>
        <v>Accessories</v>
      </c>
      <c r="L523">
        <f>_xlfn.XLOOKUP(tblOrders[[#This Row],[ProductID]],Products!$A$2:$A$9,Products!$D$2:$D$9,0)</f>
        <v>600</v>
      </c>
      <c r="M523">
        <f>tblOrders[[#This Row],[Quantity]]*tblOrders[[#This Row],[UnitPrice]]*(1-tblOrders[[#This Row],[Discount]])</f>
        <v>5355</v>
      </c>
      <c r="N523">
        <f>tblOrders[[#This Row],[Quantity]]*tblOrders[[#This Row],[UnitCost]]</f>
        <v>4200</v>
      </c>
      <c r="O523">
        <f>tblOrders[[#This Row],[Revenue]]-tblOrders[[#This Row],[Cost]]</f>
        <v>1155</v>
      </c>
      <c r="P523" t="str">
        <f>TEXT(tblOrders[[#This Row],[OrderDate]],"mmm")</f>
        <v>Dec</v>
      </c>
    </row>
    <row r="524" spans="1:16" x14ac:dyDescent="0.25">
      <c r="A524" t="s">
        <v>632</v>
      </c>
      <c r="B524" s="2">
        <v>45989</v>
      </c>
      <c r="C524" t="s">
        <v>10</v>
      </c>
      <c r="D524" t="s">
        <v>11</v>
      </c>
      <c r="E524" t="s">
        <v>12</v>
      </c>
      <c r="F524" t="s">
        <v>13</v>
      </c>
      <c r="G524">
        <v>8</v>
      </c>
      <c r="H524">
        <v>2000</v>
      </c>
      <c r="I524">
        <v>0.15</v>
      </c>
      <c r="J524" t="str">
        <f>_xlfn.XLOOKUP(tblOrders[[#This Row],[ProductID]],Products!$A$2:$A$9,Products!$B$2:$B$9,"Unknown")</f>
        <v>Headset</v>
      </c>
      <c r="K524" t="str">
        <f>_xlfn.XLOOKUP(tblOrders[[#This Row],[ProductID]],Products!$A$2:$A$9,Products!$C$2:$C$9,"Unknown")</f>
        <v>Accessories</v>
      </c>
      <c r="L524">
        <f>_xlfn.XLOOKUP(tblOrders[[#This Row],[ProductID]],Products!$A$2:$A$9,Products!$D$2:$D$9,0)</f>
        <v>1300</v>
      </c>
      <c r="M524">
        <f>tblOrders[[#This Row],[Quantity]]*tblOrders[[#This Row],[UnitPrice]]*(1-tblOrders[[#This Row],[Discount]])</f>
        <v>13600</v>
      </c>
      <c r="N524">
        <f>tblOrders[[#This Row],[Quantity]]*tblOrders[[#This Row],[UnitCost]]</f>
        <v>10400</v>
      </c>
      <c r="O524">
        <f>tblOrders[[#This Row],[Revenue]]-tblOrders[[#This Row],[Cost]]</f>
        <v>3200</v>
      </c>
      <c r="P524" t="str">
        <f>TEXT(tblOrders[[#This Row],[OrderDate]],"mmm")</f>
        <v>Nov</v>
      </c>
    </row>
    <row r="525" spans="1:16" x14ac:dyDescent="0.25">
      <c r="A525" t="s">
        <v>970</v>
      </c>
      <c r="B525" s="2">
        <v>45960</v>
      </c>
      <c r="C525" t="s">
        <v>85</v>
      </c>
      <c r="D525" t="s">
        <v>16</v>
      </c>
      <c r="E525" t="s">
        <v>17</v>
      </c>
      <c r="F525" t="s">
        <v>23</v>
      </c>
      <c r="G525">
        <v>15</v>
      </c>
      <c r="H525">
        <v>900</v>
      </c>
      <c r="I525">
        <v>0</v>
      </c>
      <c r="J525" t="str">
        <f>_xlfn.XLOOKUP(tblOrders[[#This Row],[ProductID]],Products!$A$2:$A$9,Products!$B$2:$B$9,"Unknown")</f>
        <v>Keyboard</v>
      </c>
      <c r="K525" t="str">
        <f>_xlfn.XLOOKUP(tblOrders[[#This Row],[ProductID]],Products!$A$2:$A$9,Products!$C$2:$C$9,"Unknown")</f>
        <v>Accessories</v>
      </c>
      <c r="L525">
        <f>_xlfn.XLOOKUP(tblOrders[[#This Row],[ProductID]],Products!$A$2:$A$9,Products!$D$2:$D$9,0)</f>
        <v>600</v>
      </c>
      <c r="M525">
        <f>tblOrders[[#This Row],[Quantity]]*tblOrders[[#This Row],[UnitPrice]]*(1-tblOrders[[#This Row],[Discount]])</f>
        <v>13500</v>
      </c>
      <c r="N525">
        <f>tblOrders[[#This Row],[Quantity]]*tblOrders[[#This Row],[UnitCost]]</f>
        <v>9000</v>
      </c>
      <c r="O525">
        <f>tblOrders[[#This Row],[Revenue]]-tblOrders[[#This Row],[Cost]]</f>
        <v>4500</v>
      </c>
      <c r="P525" t="str">
        <f>TEXT(tblOrders[[#This Row],[OrderDate]],"mmm")</f>
        <v>Oct</v>
      </c>
    </row>
    <row r="526" spans="1:16" x14ac:dyDescent="0.25">
      <c r="A526" t="s">
        <v>248</v>
      </c>
      <c r="B526" s="2">
        <v>45691</v>
      </c>
      <c r="C526" t="s">
        <v>175</v>
      </c>
      <c r="D526" t="s">
        <v>16</v>
      </c>
      <c r="E526" t="s">
        <v>33</v>
      </c>
      <c r="F526" t="s">
        <v>69</v>
      </c>
      <c r="G526">
        <v>12</v>
      </c>
      <c r="H526">
        <v>12000</v>
      </c>
      <c r="I526">
        <v>0</v>
      </c>
      <c r="J526" t="str">
        <f>_xlfn.XLOOKUP(tblOrders[[#This Row],[ProductID]],Products!$A$2:$A$9,Products!$B$2:$B$9,"Unknown")</f>
        <v>Monitor</v>
      </c>
      <c r="K526" t="str">
        <f>_xlfn.XLOOKUP(tblOrders[[#This Row],[ProductID]],Products!$A$2:$A$9,Products!$C$2:$C$9,"Unknown")</f>
        <v>Electronics</v>
      </c>
      <c r="L526">
        <f>_xlfn.XLOOKUP(tblOrders[[#This Row],[ProductID]],Products!$A$2:$A$9,Products!$D$2:$D$9,0)</f>
        <v>9000</v>
      </c>
      <c r="M526">
        <f>tblOrders[[#This Row],[Quantity]]*tblOrders[[#This Row],[UnitPrice]]*(1-tblOrders[[#This Row],[Discount]])</f>
        <v>144000</v>
      </c>
      <c r="N526">
        <f>tblOrders[[#This Row],[Quantity]]*tblOrders[[#This Row],[UnitCost]]</f>
        <v>108000</v>
      </c>
      <c r="O526">
        <f>tblOrders[[#This Row],[Revenue]]-tblOrders[[#This Row],[Cost]]</f>
        <v>36000</v>
      </c>
      <c r="P526" t="str">
        <f>TEXT(tblOrders[[#This Row],[OrderDate]],"mmm")</f>
        <v>Feb</v>
      </c>
    </row>
    <row r="527" spans="1:16" x14ac:dyDescent="0.25">
      <c r="A527" t="s">
        <v>26</v>
      </c>
      <c r="B527" s="2">
        <v>45998</v>
      </c>
      <c r="C527" t="s">
        <v>27</v>
      </c>
      <c r="D527" t="s">
        <v>21</v>
      </c>
      <c r="E527" t="s">
        <v>28</v>
      </c>
      <c r="F527" t="s">
        <v>13</v>
      </c>
      <c r="G527">
        <v>15</v>
      </c>
      <c r="H527">
        <v>2000</v>
      </c>
      <c r="I527">
        <v>0.15</v>
      </c>
      <c r="J527" t="str">
        <f>_xlfn.XLOOKUP(tblOrders[[#This Row],[ProductID]],Products!$A$2:$A$9,Products!$B$2:$B$9,"Unknown")</f>
        <v>Headset</v>
      </c>
      <c r="K527" t="str">
        <f>_xlfn.XLOOKUP(tblOrders[[#This Row],[ProductID]],Products!$A$2:$A$9,Products!$C$2:$C$9,"Unknown")</f>
        <v>Accessories</v>
      </c>
      <c r="L527">
        <f>_xlfn.XLOOKUP(tblOrders[[#This Row],[ProductID]],Products!$A$2:$A$9,Products!$D$2:$D$9,0)</f>
        <v>1300</v>
      </c>
      <c r="M527">
        <f>tblOrders[[#This Row],[Quantity]]*tblOrders[[#This Row],[UnitPrice]]*(1-tblOrders[[#This Row],[Discount]])</f>
        <v>25500</v>
      </c>
      <c r="N527">
        <f>tblOrders[[#This Row],[Quantity]]*tblOrders[[#This Row],[UnitCost]]</f>
        <v>19500</v>
      </c>
      <c r="O527">
        <f>tblOrders[[#This Row],[Revenue]]-tblOrders[[#This Row],[Cost]]</f>
        <v>6000</v>
      </c>
      <c r="P527" t="str">
        <f>TEXT(tblOrders[[#This Row],[OrderDate]],"mmm")</f>
        <v>Dec</v>
      </c>
    </row>
    <row r="528" spans="1:16" x14ac:dyDescent="0.25">
      <c r="A528" t="s">
        <v>789</v>
      </c>
      <c r="B528" s="2">
        <v>45661</v>
      </c>
      <c r="C528" t="s">
        <v>175</v>
      </c>
      <c r="D528" t="s">
        <v>21</v>
      </c>
      <c r="E528" t="s">
        <v>22</v>
      </c>
      <c r="F528" t="s">
        <v>13</v>
      </c>
      <c r="G528">
        <v>8</v>
      </c>
      <c r="H528">
        <v>2000</v>
      </c>
      <c r="I528">
        <v>0.1</v>
      </c>
      <c r="J528" t="str">
        <f>_xlfn.XLOOKUP(tblOrders[[#This Row],[ProductID]],Products!$A$2:$A$9,Products!$B$2:$B$9,"Unknown")</f>
        <v>Headset</v>
      </c>
      <c r="K528" t="str">
        <f>_xlfn.XLOOKUP(tblOrders[[#This Row],[ProductID]],Products!$A$2:$A$9,Products!$C$2:$C$9,"Unknown")</f>
        <v>Accessories</v>
      </c>
      <c r="L528">
        <f>_xlfn.XLOOKUP(tblOrders[[#This Row],[ProductID]],Products!$A$2:$A$9,Products!$D$2:$D$9,0)</f>
        <v>1300</v>
      </c>
      <c r="M528">
        <f>tblOrders[[#This Row],[Quantity]]*tblOrders[[#This Row],[UnitPrice]]*(1-tblOrders[[#This Row],[Discount]])</f>
        <v>14400</v>
      </c>
      <c r="N528">
        <f>tblOrders[[#This Row],[Quantity]]*tblOrders[[#This Row],[UnitCost]]</f>
        <v>10400</v>
      </c>
      <c r="O528">
        <f>tblOrders[[#This Row],[Revenue]]-tblOrders[[#This Row],[Cost]]</f>
        <v>4000</v>
      </c>
      <c r="P528" t="str">
        <f>TEXT(tblOrders[[#This Row],[OrderDate]],"mmm")</f>
        <v>Jan</v>
      </c>
    </row>
    <row r="529" spans="1:16" x14ac:dyDescent="0.25">
      <c r="A529" t="s">
        <v>258</v>
      </c>
      <c r="B529" s="2">
        <v>45929</v>
      </c>
      <c r="C529" t="s">
        <v>162</v>
      </c>
      <c r="D529" t="s">
        <v>16</v>
      </c>
      <c r="E529" t="s">
        <v>33</v>
      </c>
      <c r="F529" t="s">
        <v>34</v>
      </c>
      <c r="G529">
        <v>2</v>
      </c>
      <c r="H529">
        <v>55000</v>
      </c>
      <c r="I529">
        <v>0</v>
      </c>
      <c r="J529" t="str">
        <f>_xlfn.XLOOKUP(tblOrders[[#This Row],[ProductID]],Products!$A$2:$A$9,Products!$B$2:$B$9,"Unknown")</f>
        <v>Laptop</v>
      </c>
      <c r="K529" t="str">
        <f>_xlfn.XLOOKUP(tblOrders[[#This Row],[ProductID]],Products!$A$2:$A$9,Products!$C$2:$C$9,"Unknown")</f>
        <v>Electronics</v>
      </c>
      <c r="L529">
        <f>_xlfn.XLOOKUP(tblOrders[[#This Row],[ProductID]],Products!$A$2:$A$9,Products!$D$2:$D$9,0)</f>
        <v>41000</v>
      </c>
      <c r="M529">
        <f>tblOrders[[#This Row],[Quantity]]*tblOrders[[#This Row],[UnitPrice]]*(1-tblOrders[[#This Row],[Discount]])</f>
        <v>110000</v>
      </c>
      <c r="N529">
        <f>tblOrders[[#This Row],[Quantity]]*tblOrders[[#This Row],[UnitCost]]</f>
        <v>82000</v>
      </c>
      <c r="O529">
        <f>tblOrders[[#This Row],[Revenue]]-tblOrders[[#This Row],[Cost]]</f>
        <v>28000</v>
      </c>
      <c r="P529" t="str">
        <f>TEXT(tblOrders[[#This Row],[OrderDate]],"mmm")</f>
        <v>Sep</v>
      </c>
    </row>
    <row r="530" spans="1:16" x14ac:dyDescent="0.25">
      <c r="A530" t="s">
        <v>1076</v>
      </c>
      <c r="B530" s="2">
        <v>45943</v>
      </c>
      <c r="C530" t="s">
        <v>52</v>
      </c>
      <c r="D530" t="s">
        <v>16</v>
      </c>
      <c r="E530" t="s">
        <v>17</v>
      </c>
      <c r="F530" t="s">
        <v>13</v>
      </c>
      <c r="G530">
        <v>3</v>
      </c>
      <c r="H530">
        <v>2000</v>
      </c>
      <c r="I530">
        <v>0.1</v>
      </c>
      <c r="J530" t="str">
        <f>_xlfn.XLOOKUP(tblOrders[[#This Row],[ProductID]],Products!$A$2:$A$9,Products!$B$2:$B$9,"Unknown")</f>
        <v>Headset</v>
      </c>
      <c r="K530" t="str">
        <f>_xlfn.XLOOKUP(tblOrders[[#This Row],[ProductID]],Products!$A$2:$A$9,Products!$C$2:$C$9,"Unknown")</f>
        <v>Accessories</v>
      </c>
      <c r="L530">
        <f>_xlfn.XLOOKUP(tblOrders[[#This Row],[ProductID]],Products!$A$2:$A$9,Products!$D$2:$D$9,0)</f>
        <v>1300</v>
      </c>
      <c r="M530">
        <f>tblOrders[[#This Row],[Quantity]]*tblOrders[[#This Row],[UnitPrice]]*(1-tblOrders[[#This Row],[Discount]])</f>
        <v>5400</v>
      </c>
      <c r="N530">
        <f>tblOrders[[#This Row],[Quantity]]*tblOrders[[#This Row],[UnitCost]]</f>
        <v>3900</v>
      </c>
      <c r="O530">
        <f>tblOrders[[#This Row],[Revenue]]-tblOrders[[#This Row],[Cost]]</f>
        <v>1500</v>
      </c>
      <c r="P530" t="str">
        <f>TEXT(tblOrders[[#This Row],[OrderDate]],"mmm")</f>
        <v>Oct</v>
      </c>
    </row>
    <row r="531" spans="1:16" x14ac:dyDescent="0.25">
      <c r="A531" t="s">
        <v>410</v>
      </c>
      <c r="B531" s="2">
        <v>45762</v>
      </c>
      <c r="C531" t="s">
        <v>71</v>
      </c>
      <c r="D531" t="s">
        <v>21</v>
      </c>
      <c r="E531" t="s">
        <v>22</v>
      </c>
      <c r="F531" t="s">
        <v>43</v>
      </c>
      <c r="G531">
        <v>11</v>
      </c>
      <c r="H531">
        <v>1500</v>
      </c>
      <c r="I531">
        <v>0.15</v>
      </c>
      <c r="J531" t="str">
        <f>_xlfn.XLOOKUP(tblOrders[[#This Row],[ProductID]],Products!$A$2:$A$9,Products!$B$2:$B$9,"Unknown")</f>
        <v>Webcam</v>
      </c>
      <c r="K531" t="str">
        <f>_xlfn.XLOOKUP(tblOrders[[#This Row],[ProductID]],Products!$A$2:$A$9,Products!$C$2:$C$9,"Unknown")</f>
        <v>Accessories</v>
      </c>
      <c r="L531">
        <f>_xlfn.XLOOKUP(tblOrders[[#This Row],[ProductID]],Products!$A$2:$A$9,Products!$D$2:$D$9,0)</f>
        <v>980</v>
      </c>
      <c r="M531">
        <f>tblOrders[[#This Row],[Quantity]]*tblOrders[[#This Row],[UnitPrice]]*(1-tblOrders[[#This Row],[Discount]])</f>
        <v>14025</v>
      </c>
      <c r="N531">
        <f>tblOrders[[#This Row],[Quantity]]*tblOrders[[#This Row],[UnitCost]]</f>
        <v>10780</v>
      </c>
      <c r="O531">
        <f>tblOrders[[#This Row],[Revenue]]-tblOrders[[#This Row],[Cost]]</f>
        <v>3245</v>
      </c>
      <c r="P531" t="str">
        <f>TEXT(tblOrders[[#This Row],[OrderDate]],"mmm")</f>
        <v>Apr</v>
      </c>
    </row>
    <row r="532" spans="1:16" x14ac:dyDescent="0.25">
      <c r="A532" t="s">
        <v>129</v>
      </c>
      <c r="B532" s="2">
        <v>45887</v>
      </c>
      <c r="C532" t="s">
        <v>130</v>
      </c>
      <c r="D532" t="s">
        <v>11</v>
      </c>
      <c r="E532" t="s">
        <v>12</v>
      </c>
      <c r="F532" t="s">
        <v>43</v>
      </c>
      <c r="G532">
        <v>12</v>
      </c>
      <c r="H532">
        <v>1500</v>
      </c>
      <c r="I532">
        <v>0</v>
      </c>
      <c r="J532" t="str">
        <f>_xlfn.XLOOKUP(tblOrders[[#This Row],[ProductID]],Products!$A$2:$A$9,Products!$B$2:$B$9,"Unknown")</f>
        <v>Webcam</v>
      </c>
      <c r="K532" t="str">
        <f>_xlfn.XLOOKUP(tblOrders[[#This Row],[ProductID]],Products!$A$2:$A$9,Products!$C$2:$C$9,"Unknown")</f>
        <v>Accessories</v>
      </c>
      <c r="L532">
        <f>_xlfn.XLOOKUP(tblOrders[[#This Row],[ProductID]],Products!$A$2:$A$9,Products!$D$2:$D$9,0)</f>
        <v>980</v>
      </c>
      <c r="M532">
        <f>tblOrders[[#This Row],[Quantity]]*tblOrders[[#This Row],[UnitPrice]]*(1-tblOrders[[#This Row],[Discount]])</f>
        <v>18000</v>
      </c>
      <c r="N532">
        <f>tblOrders[[#This Row],[Quantity]]*tblOrders[[#This Row],[UnitCost]]</f>
        <v>11760</v>
      </c>
      <c r="O532">
        <f>tblOrders[[#This Row],[Revenue]]-tblOrders[[#This Row],[Cost]]</f>
        <v>6240</v>
      </c>
      <c r="P532" t="str">
        <f>TEXT(tblOrders[[#This Row],[OrderDate]],"mmm")</f>
        <v>Aug</v>
      </c>
    </row>
    <row r="533" spans="1:16" x14ac:dyDescent="0.25">
      <c r="A533" t="s">
        <v>731</v>
      </c>
      <c r="B533" s="2">
        <v>45724</v>
      </c>
      <c r="C533" t="s">
        <v>48</v>
      </c>
      <c r="D533" t="s">
        <v>11</v>
      </c>
      <c r="E533" t="s">
        <v>46</v>
      </c>
      <c r="F533" t="s">
        <v>13</v>
      </c>
      <c r="G533">
        <v>8</v>
      </c>
      <c r="H533">
        <v>2000</v>
      </c>
      <c r="I533">
        <v>0</v>
      </c>
      <c r="J533" t="str">
        <f>_xlfn.XLOOKUP(tblOrders[[#This Row],[ProductID]],Products!$A$2:$A$9,Products!$B$2:$B$9,"Unknown")</f>
        <v>Headset</v>
      </c>
      <c r="K533" t="str">
        <f>_xlfn.XLOOKUP(tblOrders[[#This Row],[ProductID]],Products!$A$2:$A$9,Products!$C$2:$C$9,"Unknown")</f>
        <v>Accessories</v>
      </c>
      <c r="L533">
        <f>_xlfn.XLOOKUP(tblOrders[[#This Row],[ProductID]],Products!$A$2:$A$9,Products!$D$2:$D$9,0)</f>
        <v>1300</v>
      </c>
      <c r="M533">
        <f>tblOrders[[#This Row],[Quantity]]*tblOrders[[#This Row],[UnitPrice]]*(1-tblOrders[[#This Row],[Discount]])</f>
        <v>16000</v>
      </c>
      <c r="N533">
        <f>tblOrders[[#This Row],[Quantity]]*tblOrders[[#This Row],[UnitCost]]</f>
        <v>10400</v>
      </c>
      <c r="O533">
        <f>tblOrders[[#This Row],[Revenue]]-tblOrders[[#This Row],[Cost]]</f>
        <v>5600</v>
      </c>
      <c r="P533" t="str">
        <f>TEXT(tblOrders[[#This Row],[OrderDate]],"mmm")</f>
        <v>Mar</v>
      </c>
    </row>
    <row r="534" spans="1:16" x14ac:dyDescent="0.25">
      <c r="A534" t="s">
        <v>717</v>
      </c>
      <c r="B534" s="2">
        <v>45975</v>
      </c>
      <c r="C534" t="s">
        <v>158</v>
      </c>
      <c r="D534" t="s">
        <v>39</v>
      </c>
      <c r="E534" t="s">
        <v>40</v>
      </c>
      <c r="F534" t="s">
        <v>69</v>
      </c>
      <c r="G534">
        <v>13</v>
      </c>
      <c r="H534">
        <v>12000</v>
      </c>
      <c r="I534">
        <v>0</v>
      </c>
      <c r="J534" t="str">
        <f>_xlfn.XLOOKUP(tblOrders[[#This Row],[ProductID]],Products!$A$2:$A$9,Products!$B$2:$B$9,"Unknown")</f>
        <v>Monitor</v>
      </c>
      <c r="K534" t="str">
        <f>_xlfn.XLOOKUP(tblOrders[[#This Row],[ProductID]],Products!$A$2:$A$9,Products!$C$2:$C$9,"Unknown")</f>
        <v>Electronics</v>
      </c>
      <c r="L534">
        <f>_xlfn.XLOOKUP(tblOrders[[#This Row],[ProductID]],Products!$A$2:$A$9,Products!$D$2:$D$9,0)</f>
        <v>9000</v>
      </c>
      <c r="M534">
        <f>tblOrders[[#This Row],[Quantity]]*tblOrders[[#This Row],[UnitPrice]]*(1-tblOrders[[#This Row],[Discount]])</f>
        <v>156000</v>
      </c>
      <c r="N534">
        <f>tblOrders[[#This Row],[Quantity]]*tblOrders[[#This Row],[UnitCost]]</f>
        <v>117000</v>
      </c>
      <c r="O534">
        <f>tblOrders[[#This Row],[Revenue]]-tblOrders[[#This Row],[Cost]]</f>
        <v>39000</v>
      </c>
      <c r="P534" t="str">
        <f>TEXT(tblOrders[[#This Row],[OrderDate]],"mmm")</f>
        <v>Nov</v>
      </c>
    </row>
    <row r="535" spans="1:16" x14ac:dyDescent="0.25">
      <c r="A535" t="s">
        <v>982</v>
      </c>
      <c r="B535" s="2">
        <v>45837</v>
      </c>
      <c r="C535" t="s">
        <v>153</v>
      </c>
      <c r="D535" t="s">
        <v>21</v>
      </c>
      <c r="E535" t="s">
        <v>22</v>
      </c>
      <c r="F535" t="s">
        <v>69</v>
      </c>
      <c r="G535">
        <v>5</v>
      </c>
      <c r="H535">
        <v>12000</v>
      </c>
      <c r="I535">
        <v>0</v>
      </c>
      <c r="J535" t="str">
        <f>_xlfn.XLOOKUP(tblOrders[[#This Row],[ProductID]],Products!$A$2:$A$9,Products!$B$2:$B$9,"Unknown")</f>
        <v>Monitor</v>
      </c>
      <c r="K535" t="str">
        <f>_xlfn.XLOOKUP(tblOrders[[#This Row],[ProductID]],Products!$A$2:$A$9,Products!$C$2:$C$9,"Unknown")</f>
        <v>Electronics</v>
      </c>
      <c r="L535">
        <f>_xlfn.XLOOKUP(tblOrders[[#This Row],[ProductID]],Products!$A$2:$A$9,Products!$D$2:$D$9,0)</f>
        <v>9000</v>
      </c>
      <c r="M535">
        <f>tblOrders[[#This Row],[Quantity]]*tblOrders[[#This Row],[UnitPrice]]*(1-tblOrders[[#This Row],[Discount]])</f>
        <v>60000</v>
      </c>
      <c r="N535">
        <f>tblOrders[[#This Row],[Quantity]]*tblOrders[[#This Row],[UnitCost]]</f>
        <v>45000</v>
      </c>
      <c r="O535">
        <f>tblOrders[[#This Row],[Revenue]]-tblOrders[[#This Row],[Cost]]</f>
        <v>15000</v>
      </c>
      <c r="P535" t="str">
        <f>TEXT(tblOrders[[#This Row],[OrderDate]],"mmm")</f>
        <v>Jun</v>
      </c>
    </row>
    <row r="536" spans="1:16" x14ac:dyDescent="0.25">
      <c r="A536" t="s">
        <v>598</v>
      </c>
      <c r="B536" s="2">
        <v>45672</v>
      </c>
      <c r="C536" t="s">
        <v>238</v>
      </c>
      <c r="D536" t="s">
        <v>11</v>
      </c>
      <c r="E536" t="s">
        <v>12</v>
      </c>
      <c r="F536" t="s">
        <v>13</v>
      </c>
      <c r="G536">
        <v>3</v>
      </c>
      <c r="H536">
        <v>2000</v>
      </c>
      <c r="I536">
        <v>0</v>
      </c>
      <c r="J536" t="str">
        <f>_xlfn.XLOOKUP(tblOrders[[#This Row],[ProductID]],Products!$A$2:$A$9,Products!$B$2:$B$9,"Unknown")</f>
        <v>Headset</v>
      </c>
      <c r="K536" t="str">
        <f>_xlfn.XLOOKUP(tblOrders[[#This Row],[ProductID]],Products!$A$2:$A$9,Products!$C$2:$C$9,"Unknown")</f>
        <v>Accessories</v>
      </c>
      <c r="L536">
        <f>_xlfn.XLOOKUP(tblOrders[[#This Row],[ProductID]],Products!$A$2:$A$9,Products!$D$2:$D$9,0)</f>
        <v>1300</v>
      </c>
      <c r="M536">
        <f>tblOrders[[#This Row],[Quantity]]*tblOrders[[#This Row],[UnitPrice]]*(1-tblOrders[[#This Row],[Discount]])</f>
        <v>6000</v>
      </c>
      <c r="N536">
        <f>tblOrders[[#This Row],[Quantity]]*tblOrders[[#This Row],[UnitCost]]</f>
        <v>3900</v>
      </c>
      <c r="O536">
        <f>tblOrders[[#This Row],[Revenue]]-tblOrders[[#This Row],[Cost]]</f>
        <v>2100</v>
      </c>
      <c r="P536" t="str">
        <f>TEXT(tblOrders[[#This Row],[OrderDate]],"mmm")</f>
        <v>Jan</v>
      </c>
    </row>
    <row r="537" spans="1:16" x14ac:dyDescent="0.25">
      <c r="A537" t="s">
        <v>690</v>
      </c>
      <c r="B537" s="2">
        <v>45729</v>
      </c>
      <c r="C537" t="s">
        <v>333</v>
      </c>
      <c r="D537" t="s">
        <v>16</v>
      </c>
      <c r="E537" t="s">
        <v>33</v>
      </c>
      <c r="F537" t="s">
        <v>34</v>
      </c>
      <c r="G537">
        <v>10</v>
      </c>
      <c r="H537">
        <v>55000</v>
      </c>
      <c r="I537">
        <v>0</v>
      </c>
      <c r="J537" t="str">
        <f>_xlfn.XLOOKUP(tblOrders[[#This Row],[ProductID]],Products!$A$2:$A$9,Products!$B$2:$B$9,"Unknown")</f>
        <v>Laptop</v>
      </c>
      <c r="K537" t="str">
        <f>_xlfn.XLOOKUP(tblOrders[[#This Row],[ProductID]],Products!$A$2:$A$9,Products!$C$2:$C$9,"Unknown")</f>
        <v>Electronics</v>
      </c>
      <c r="L537">
        <f>_xlfn.XLOOKUP(tblOrders[[#This Row],[ProductID]],Products!$A$2:$A$9,Products!$D$2:$D$9,0)</f>
        <v>41000</v>
      </c>
      <c r="M537">
        <f>tblOrders[[#This Row],[Quantity]]*tblOrders[[#This Row],[UnitPrice]]*(1-tblOrders[[#This Row],[Discount]])</f>
        <v>550000</v>
      </c>
      <c r="N537">
        <f>tblOrders[[#This Row],[Quantity]]*tblOrders[[#This Row],[UnitCost]]</f>
        <v>410000</v>
      </c>
      <c r="O537">
        <f>tblOrders[[#This Row],[Revenue]]-tblOrders[[#This Row],[Cost]]</f>
        <v>140000</v>
      </c>
      <c r="P537" t="str">
        <f>TEXT(tblOrders[[#This Row],[OrderDate]],"mmm")</f>
        <v>Mar</v>
      </c>
    </row>
    <row r="538" spans="1:16" x14ac:dyDescent="0.25">
      <c r="A538" t="s">
        <v>711</v>
      </c>
      <c r="B538" s="2">
        <v>45750</v>
      </c>
      <c r="C538" t="s">
        <v>121</v>
      </c>
      <c r="D538" t="s">
        <v>11</v>
      </c>
      <c r="E538" t="s">
        <v>12</v>
      </c>
      <c r="F538" t="s">
        <v>43</v>
      </c>
      <c r="G538">
        <v>2</v>
      </c>
      <c r="H538">
        <v>1500</v>
      </c>
      <c r="I538">
        <v>0.05</v>
      </c>
      <c r="J538" t="str">
        <f>_xlfn.XLOOKUP(tblOrders[[#This Row],[ProductID]],Products!$A$2:$A$9,Products!$B$2:$B$9,"Unknown")</f>
        <v>Webcam</v>
      </c>
      <c r="K538" t="str">
        <f>_xlfn.XLOOKUP(tblOrders[[#This Row],[ProductID]],Products!$A$2:$A$9,Products!$C$2:$C$9,"Unknown")</f>
        <v>Accessories</v>
      </c>
      <c r="L538">
        <f>_xlfn.XLOOKUP(tblOrders[[#This Row],[ProductID]],Products!$A$2:$A$9,Products!$D$2:$D$9,0)</f>
        <v>980</v>
      </c>
      <c r="M538">
        <f>tblOrders[[#This Row],[Quantity]]*tblOrders[[#This Row],[UnitPrice]]*(1-tblOrders[[#This Row],[Discount]])</f>
        <v>2850</v>
      </c>
      <c r="N538">
        <f>tblOrders[[#This Row],[Quantity]]*tblOrders[[#This Row],[UnitCost]]</f>
        <v>1960</v>
      </c>
      <c r="O538">
        <f>tblOrders[[#This Row],[Revenue]]-tblOrders[[#This Row],[Cost]]</f>
        <v>890</v>
      </c>
      <c r="P538" t="str">
        <f>TEXT(tblOrders[[#This Row],[OrderDate]],"mmm")</f>
        <v>Apr</v>
      </c>
    </row>
    <row r="539" spans="1:16" x14ac:dyDescent="0.25">
      <c r="A539" t="s">
        <v>1001</v>
      </c>
      <c r="B539" s="2">
        <v>45985</v>
      </c>
      <c r="C539" t="s">
        <v>229</v>
      </c>
      <c r="D539" t="s">
        <v>11</v>
      </c>
      <c r="E539" t="s">
        <v>46</v>
      </c>
      <c r="F539" t="s">
        <v>18</v>
      </c>
      <c r="G539">
        <v>3</v>
      </c>
      <c r="H539">
        <v>18000</v>
      </c>
      <c r="I539">
        <v>0.1</v>
      </c>
      <c r="J539" t="str">
        <f>_xlfn.XLOOKUP(tblOrders[[#This Row],[ProductID]],Products!$A$2:$A$9,Products!$B$2:$B$9,"Unknown")</f>
        <v>Tablet</v>
      </c>
      <c r="K539" t="str">
        <f>_xlfn.XLOOKUP(tblOrders[[#This Row],[ProductID]],Products!$A$2:$A$9,Products!$C$2:$C$9,"Unknown")</f>
        <v>Electronics</v>
      </c>
      <c r="L539">
        <f>_xlfn.XLOOKUP(tblOrders[[#This Row],[ProductID]],Products!$A$2:$A$9,Products!$D$2:$D$9,0)</f>
        <v>13500</v>
      </c>
      <c r="M539">
        <f>tblOrders[[#This Row],[Quantity]]*tblOrders[[#This Row],[UnitPrice]]*(1-tblOrders[[#This Row],[Discount]])</f>
        <v>48600</v>
      </c>
      <c r="N539">
        <f>tblOrders[[#This Row],[Quantity]]*tblOrders[[#This Row],[UnitCost]]</f>
        <v>40500</v>
      </c>
      <c r="O539">
        <f>tblOrders[[#This Row],[Revenue]]-tblOrders[[#This Row],[Cost]]</f>
        <v>8100</v>
      </c>
      <c r="P539" t="str">
        <f>TEXT(tblOrders[[#This Row],[OrderDate]],"mmm")</f>
        <v>Nov</v>
      </c>
    </row>
    <row r="540" spans="1:16" x14ac:dyDescent="0.25">
      <c r="A540" t="s">
        <v>837</v>
      </c>
      <c r="B540" s="2">
        <v>45867</v>
      </c>
      <c r="C540" t="s">
        <v>151</v>
      </c>
      <c r="D540" t="s">
        <v>11</v>
      </c>
      <c r="E540" t="s">
        <v>12</v>
      </c>
      <c r="F540" t="s">
        <v>13</v>
      </c>
      <c r="G540">
        <v>10</v>
      </c>
      <c r="H540">
        <v>2000</v>
      </c>
      <c r="I540">
        <v>0.15</v>
      </c>
      <c r="J540" t="str">
        <f>_xlfn.XLOOKUP(tblOrders[[#This Row],[ProductID]],Products!$A$2:$A$9,Products!$B$2:$B$9,"Unknown")</f>
        <v>Headset</v>
      </c>
      <c r="K540" t="str">
        <f>_xlfn.XLOOKUP(tblOrders[[#This Row],[ProductID]],Products!$A$2:$A$9,Products!$C$2:$C$9,"Unknown")</f>
        <v>Accessories</v>
      </c>
      <c r="L540">
        <f>_xlfn.XLOOKUP(tblOrders[[#This Row],[ProductID]],Products!$A$2:$A$9,Products!$D$2:$D$9,0)</f>
        <v>1300</v>
      </c>
      <c r="M540">
        <f>tblOrders[[#This Row],[Quantity]]*tblOrders[[#This Row],[UnitPrice]]*(1-tblOrders[[#This Row],[Discount]])</f>
        <v>17000</v>
      </c>
      <c r="N540">
        <f>tblOrders[[#This Row],[Quantity]]*tblOrders[[#This Row],[UnitCost]]</f>
        <v>13000</v>
      </c>
      <c r="O540">
        <f>tblOrders[[#This Row],[Revenue]]-tblOrders[[#This Row],[Cost]]</f>
        <v>4000</v>
      </c>
      <c r="P540" t="str">
        <f>TEXT(tblOrders[[#This Row],[OrderDate]],"mmm")</f>
        <v>Jul</v>
      </c>
    </row>
    <row r="541" spans="1:16" x14ac:dyDescent="0.25">
      <c r="A541" t="s">
        <v>874</v>
      </c>
      <c r="B541" s="2">
        <v>45856</v>
      </c>
      <c r="C541" t="s">
        <v>153</v>
      </c>
      <c r="D541" t="s">
        <v>21</v>
      </c>
      <c r="E541" t="s">
        <v>22</v>
      </c>
      <c r="F541" t="s">
        <v>43</v>
      </c>
      <c r="G541">
        <v>5</v>
      </c>
      <c r="H541">
        <v>1500</v>
      </c>
      <c r="I541">
        <v>0</v>
      </c>
      <c r="J541" t="str">
        <f>_xlfn.XLOOKUP(tblOrders[[#This Row],[ProductID]],Products!$A$2:$A$9,Products!$B$2:$B$9,"Unknown")</f>
        <v>Webcam</v>
      </c>
      <c r="K541" t="str">
        <f>_xlfn.XLOOKUP(tblOrders[[#This Row],[ProductID]],Products!$A$2:$A$9,Products!$C$2:$C$9,"Unknown")</f>
        <v>Accessories</v>
      </c>
      <c r="L541">
        <f>_xlfn.XLOOKUP(tblOrders[[#This Row],[ProductID]],Products!$A$2:$A$9,Products!$D$2:$D$9,0)</f>
        <v>980</v>
      </c>
      <c r="M541">
        <f>tblOrders[[#This Row],[Quantity]]*tblOrders[[#This Row],[UnitPrice]]*(1-tblOrders[[#This Row],[Discount]])</f>
        <v>7500</v>
      </c>
      <c r="N541">
        <f>tblOrders[[#This Row],[Quantity]]*tblOrders[[#This Row],[UnitCost]]</f>
        <v>4900</v>
      </c>
      <c r="O541">
        <f>tblOrders[[#This Row],[Revenue]]-tblOrders[[#This Row],[Cost]]</f>
        <v>2600</v>
      </c>
      <c r="P541" t="str">
        <f>TEXT(tblOrders[[#This Row],[OrderDate]],"mmm")</f>
        <v>Jul</v>
      </c>
    </row>
    <row r="542" spans="1:16" x14ac:dyDescent="0.25">
      <c r="A542" t="s">
        <v>770</v>
      </c>
      <c r="B542" s="2">
        <v>45757</v>
      </c>
      <c r="C542" t="s">
        <v>1102</v>
      </c>
      <c r="D542" t="s">
        <v>16</v>
      </c>
      <c r="E542" t="s">
        <v>33</v>
      </c>
      <c r="F542" t="s">
        <v>34</v>
      </c>
      <c r="G542">
        <v>7</v>
      </c>
      <c r="H542">
        <v>55000</v>
      </c>
      <c r="I542">
        <v>0.1</v>
      </c>
      <c r="J542" t="str">
        <f>_xlfn.XLOOKUP(tblOrders[[#This Row],[ProductID]],Products!$A$2:$A$9,Products!$B$2:$B$9,"Unknown")</f>
        <v>Laptop</v>
      </c>
      <c r="K542" t="str">
        <f>_xlfn.XLOOKUP(tblOrders[[#This Row],[ProductID]],Products!$A$2:$A$9,Products!$C$2:$C$9,"Unknown")</f>
        <v>Electronics</v>
      </c>
      <c r="L542">
        <f>_xlfn.XLOOKUP(tblOrders[[#This Row],[ProductID]],Products!$A$2:$A$9,Products!$D$2:$D$9,0)</f>
        <v>41000</v>
      </c>
      <c r="M542">
        <f>tblOrders[[#This Row],[Quantity]]*tblOrders[[#This Row],[UnitPrice]]*(1-tblOrders[[#This Row],[Discount]])</f>
        <v>346500</v>
      </c>
      <c r="N542">
        <f>tblOrders[[#This Row],[Quantity]]*tblOrders[[#This Row],[UnitCost]]</f>
        <v>287000</v>
      </c>
      <c r="O542">
        <f>tblOrders[[#This Row],[Revenue]]-tblOrders[[#This Row],[Cost]]</f>
        <v>59500</v>
      </c>
      <c r="P542" t="str">
        <f>TEXT(tblOrders[[#This Row],[OrderDate]],"mmm")</f>
        <v>Apr</v>
      </c>
    </row>
    <row r="543" spans="1:16" x14ac:dyDescent="0.25">
      <c r="A543" t="s">
        <v>686</v>
      </c>
      <c r="B543" s="2">
        <v>45806</v>
      </c>
      <c r="C543" t="s">
        <v>63</v>
      </c>
      <c r="D543" t="s">
        <v>16</v>
      </c>
      <c r="E543" t="s">
        <v>33</v>
      </c>
      <c r="F543" t="s">
        <v>69</v>
      </c>
      <c r="G543">
        <v>3</v>
      </c>
      <c r="H543">
        <v>12000</v>
      </c>
      <c r="I543">
        <v>0.05</v>
      </c>
      <c r="J543" t="str">
        <f>_xlfn.XLOOKUP(tblOrders[[#This Row],[ProductID]],Products!$A$2:$A$9,Products!$B$2:$B$9,"Unknown")</f>
        <v>Monitor</v>
      </c>
      <c r="K543" t="str">
        <f>_xlfn.XLOOKUP(tblOrders[[#This Row],[ProductID]],Products!$A$2:$A$9,Products!$C$2:$C$9,"Unknown")</f>
        <v>Electronics</v>
      </c>
      <c r="L543">
        <f>_xlfn.XLOOKUP(tblOrders[[#This Row],[ProductID]],Products!$A$2:$A$9,Products!$D$2:$D$9,0)</f>
        <v>9000</v>
      </c>
      <c r="M543">
        <f>tblOrders[[#This Row],[Quantity]]*tblOrders[[#This Row],[UnitPrice]]*(1-tblOrders[[#This Row],[Discount]])</f>
        <v>34200</v>
      </c>
      <c r="N543">
        <f>tblOrders[[#This Row],[Quantity]]*tblOrders[[#This Row],[UnitCost]]</f>
        <v>27000</v>
      </c>
      <c r="O543">
        <f>tblOrders[[#This Row],[Revenue]]-tblOrders[[#This Row],[Cost]]</f>
        <v>7200</v>
      </c>
      <c r="P543" t="str">
        <f>TEXT(tblOrders[[#This Row],[OrderDate]],"mmm")</f>
        <v>May</v>
      </c>
    </row>
    <row r="544" spans="1:16" x14ac:dyDescent="0.25">
      <c r="A544" t="s">
        <v>1064</v>
      </c>
      <c r="B544" s="2">
        <v>46019</v>
      </c>
      <c r="C544" t="s">
        <v>171</v>
      </c>
      <c r="D544" t="s">
        <v>21</v>
      </c>
      <c r="E544" t="s">
        <v>28</v>
      </c>
      <c r="F544" t="s">
        <v>34</v>
      </c>
      <c r="G544">
        <v>5</v>
      </c>
      <c r="H544">
        <v>55000</v>
      </c>
      <c r="I544">
        <v>0</v>
      </c>
      <c r="J544" t="str">
        <f>_xlfn.XLOOKUP(tblOrders[[#This Row],[ProductID]],Products!$A$2:$A$9,Products!$B$2:$B$9,"Unknown")</f>
        <v>Laptop</v>
      </c>
      <c r="K544" t="str">
        <f>_xlfn.XLOOKUP(tblOrders[[#This Row],[ProductID]],Products!$A$2:$A$9,Products!$C$2:$C$9,"Unknown")</f>
        <v>Electronics</v>
      </c>
      <c r="L544">
        <f>_xlfn.XLOOKUP(tblOrders[[#This Row],[ProductID]],Products!$A$2:$A$9,Products!$D$2:$D$9,0)</f>
        <v>41000</v>
      </c>
      <c r="M544">
        <f>tblOrders[[#This Row],[Quantity]]*tblOrders[[#This Row],[UnitPrice]]*(1-tblOrders[[#This Row],[Discount]])</f>
        <v>275000</v>
      </c>
      <c r="N544">
        <f>tblOrders[[#This Row],[Quantity]]*tblOrders[[#This Row],[UnitCost]]</f>
        <v>205000</v>
      </c>
      <c r="O544">
        <f>tblOrders[[#This Row],[Revenue]]-tblOrders[[#This Row],[Cost]]</f>
        <v>70000</v>
      </c>
      <c r="P544" t="str">
        <f>TEXT(tblOrders[[#This Row],[OrderDate]],"mmm")</f>
        <v>Dec</v>
      </c>
    </row>
    <row r="545" spans="1:16" x14ac:dyDescent="0.25">
      <c r="A545" t="s">
        <v>447</v>
      </c>
      <c r="B545" s="2">
        <v>45783</v>
      </c>
      <c r="C545" t="s">
        <v>123</v>
      </c>
      <c r="D545" t="s">
        <v>21</v>
      </c>
      <c r="E545" t="s">
        <v>28</v>
      </c>
      <c r="F545" t="s">
        <v>69</v>
      </c>
      <c r="G545">
        <v>11</v>
      </c>
      <c r="H545">
        <v>12000</v>
      </c>
      <c r="I545">
        <v>0.05</v>
      </c>
      <c r="J545" t="str">
        <f>_xlfn.XLOOKUP(tblOrders[[#This Row],[ProductID]],Products!$A$2:$A$9,Products!$B$2:$B$9,"Unknown")</f>
        <v>Monitor</v>
      </c>
      <c r="K545" t="str">
        <f>_xlfn.XLOOKUP(tblOrders[[#This Row],[ProductID]],Products!$A$2:$A$9,Products!$C$2:$C$9,"Unknown")</f>
        <v>Electronics</v>
      </c>
      <c r="L545">
        <f>_xlfn.XLOOKUP(tblOrders[[#This Row],[ProductID]],Products!$A$2:$A$9,Products!$D$2:$D$9,0)</f>
        <v>9000</v>
      </c>
      <c r="M545">
        <f>tblOrders[[#This Row],[Quantity]]*tblOrders[[#This Row],[UnitPrice]]*(1-tblOrders[[#This Row],[Discount]])</f>
        <v>125400</v>
      </c>
      <c r="N545">
        <f>tblOrders[[#This Row],[Quantity]]*tblOrders[[#This Row],[UnitCost]]</f>
        <v>99000</v>
      </c>
      <c r="O545">
        <f>tblOrders[[#This Row],[Revenue]]-tblOrders[[#This Row],[Cost]]</f>
        <v>26400</v>
      </c>
      <c r="P545" t="str">
        <f>TEXT(tblOrders[[#This Row],[OrderDate]],"mmm")</f>
        <v>May</v>
      </c>
    </row>
    <row r="546" spans="1:16" x14ac:dyDescent="0.25">
      <c r="A546" t="s">
        <v>542</v>
      </c>
      <c r="B546" s="2">
        <v>45786</v>
      </c>
      <c r="C546" t="s">
        <v>123</v>
      </c>
      <c r="D546" t="s">
        <v>21</v>
      </c>
      <c r="E546" t="s">
        <v>28</v>
      </c>
      <c r="F546" t="s">
        <v>18</v>
      </c>
      <c r="G546">
        <v>12</v>
      </c>
      <c r="H546">
        <v>18000</v>
      </c>
      <c r="I546">
        <v>0.05</v>
      </c>
      <c r="J546" t="str">
        <f>_xlfn.XLOOKUP(tblOrders[[#This Row],[ProductID]],Products!$A$2:$A$9,Products!$B$2:$B$9,"Unknown")</f>
        <v>Tablet</v>
      </c>
      <c r="K546" t="str">
        <f>_xlfn.XLOOKUP(tblOrders[[#This Row],[ProductID]],Products!$A$2:$A$9,Products!$C$2:$C$9,"Unknown")</f>
        <v>Electronics</v>
      </c>
      <c r="L546">
        <f>_xlfn.XLOOKUP(tblOrders[[#This Row],[ProductID]],Products!$A$2:$A$9,Products!$D$2:$D$9,0)</f>
        <v>13500</v>
      </c>
      <c r="M546">
        <f>tblOrders[[#This Row],[Quantity]]*tblOrders[[#This Row],[UnitPrice]]*(1-tblOrders[[#This Row],[Discount]])</f>
        <v>205200</v>
      </c>
      <c r="N546">
        <f>tblOrders[[#This Row],[Quantity]]*tblOrders[[#This Row],[UnitCost]]</f>
        <v>162000</v>
      </c>
      <c r="O546">
        <f>tblOrders[[#This Row],[Revenue]]-tblOrders[[#This Row],[Cost]]</f>
        <v>43200</v>
      </c>
      <c r="P546" t="str">
        <f>TEXT(tblOrders[[#This Row],[OrderDate]],"mmm")</f>
        <v>May</v>
      </c>
    </row>
    <row r="547" spans="1:16" x14ac:dyDescent="0.25">
      <c r="A547" t="s">
        <v>730</v>
      </c>
      <c r="B547" s="2">
        <v>45960</v>
      </c>
      <c r="C547" t="s">
        <v>52</v>
      </c>
      <c r="D547" t="s">
        <v>16</v>
      </c>
      <c r="E547" t="s">
        <v>33</v>
      </c>
      <c r="F547" t="s">
        <v>55</v>
      </c>
      <c r="G547">
        <v>14</v>
      </c>
      <c r="H547">
        <v>8000</v>
      </c>
      <c r="I547">
        <v>0.05</v>
      </c>
      <c r="J547" t="str">
        <f>_xlfn.XLOOKUP(tblOrders[[#This Row],[ProductID]],Products!$A$2:$A$9,Products!$B$2:$B$9,"Unknown")</f>
        <v>Printer</v>
      </c>
      <c r="K547" t="str">
        <f>_xlfn.XLOOKUP(tblOrders[[#This Row],[ProductID]],Products!$A$2:$A$9,Products!$C$2:$C$9,"Unknown")</f>
        <v>Electronics</v>
      </c>
      <c r="L547">
        <f>_xlfn.XLOOKUP(tblOrders[[#This Row],[ProductID]],Products!$A$2:$A$9,Products!$D$2:$D$9,0)</f>
        <v>6200</v>
      </c>
      <c r="M547">
        <f>tblOrders[[#This Row],[Quantity]]*tblOrders[[#This Row],[UnitPrice]]*(1-tblOrders[[#This Row],[Discount]])</f>
        <v>106400</v>
      </c>
      <c r="N547">
        <f>tblOrders[[#This Row],[Quantity]]*tblOrders[[#This Row],[UnitCost]]</f>
        <v>86800</v>
      </c>
      <c r="O547">
        <f>tblOrders[[#This Row],[Revenue]]-tblOrders[[#This Row],[Cost]]</f>
        <v>19600</v>
      </c>
      <c r="P547" t="str">
        <f>TEXT(tblOrders[[#This Row],[OrderDate]],"mmm")</f>
        <v>Oct</v>
      </c>
    </row>
    <row r="548" spans="1:16" x14ac:dyDescent="0.25">
      <c r="A548" t="s">
        <v>329</v>
      </c>
      <c r="B548" s="2">
        <v>45950</v>
      </c>
      <c r="C548" t="s">
        <v>71</v>
      </c>
      <c r="D548" t="s">
        <v>11</v>
      </c>
      <c r="E548" t="s">
        <v>12</v>
      </c>
      <c r="F548" t="s">
        <v>23</v>
      </c>
      <c r="G548">
        <v>7</v>
      </c>
      <c r="H548">
        <v>900</v>
      </c>
      <c r="I548">
        <v>0.05</v>
      </c>
      <c r="J548" t="str">
        <f>_xlfn.XLOOKUP(tblOrders[[#This Row],[ProductID]],Products!$A$2:$A$9,Products!$B$2:$B$9,"Unknown")</f>
        <v>Keyboard</v>
      </c>
      <c r="K548" t="str">
        <f>_xlfn.XLOOKUP(tblOrders[[#This Row],[ProductID]],Products!$A$2:$A$9,Products!$C$2:$C$9,"Unknown")</f>
        <v>Accessories</v>
      </c>
      <c r="L548">
        <f>_xlfn.XLOOKUP(tblOrders[[#This Row],[ProductID]],Products!$A$2:$A$9,Products!$D$2:$D$9,0)</f>
        <v>600</v>
      </c>
      <c r="M548">
        <f>tblOrders[[#This Row],[Quantity]]*tblOrders[[#This Row],[UnitPrice]]*(1-tblOrders[[#This Row],[Discount]])</f>
        <v>5985</v>
      </c>
      <c r="N548">
        <f>tblOrders[[#This Row],[Quantity]]*tblOrders[[#This Row],[UnitCost]]</f>
        <v>4200</v>
      </c>
      <c r="O548">
        <f>tblOrders[[#This Row],[Revenue]]-tblOrders[[#This Row],[Cost]]</f>
        <v>1785</v>
      </c>
      <c r="P548" t="str">
        <f>TEXT(tblOrders[[#This Row],[OrderDate]],"mmm")</f>
        <v>Oct</v>
      </c>
    </row>
    <row r="549" spans="1:16" x14ac:dyDescent="0.25">
      <c r="A549" t="s">
        <v>94</v>
      </c>
      <c r="B549" s="2">
        <v>45725</v>
      </c>
      <c r="C549" t="s">
        <v>25</v>
      </c>
      <c r="D549" t="s">
        <v>21</v>
      </c>
      <c r="E549" t="s">
        <v>22</v>
      </c>
      <c r="F549" t="s">
        <v>13</v>
      </c>
      <c r="G549">
        <v>11</v>
      </c>
      <c r="H549">
        <v>2000</v>
      </c>
      <c r="I549">
        <v>0.1</v>
      </c>
      <c r="J549" t="str">
        <f>_xlfn.XLOOKUP(tblOrders[[#This Row],[ProductID]],Products!$A$2:$A$9,Products!$B$2:$B$9,"Unknown")</f>
        <v>Headset</v>
      </c>
      <c r="K549" t="str">
        <f>_xlfn.XLOOKUP(tblOrders[[#This Row],[ProductID]],Products!$A$2:$A$9,Products!$C$2:$C$9,"Unknown")</f>
        <v>Accessories</v>
      </c>
      <c r="L549">
        <f>_xlfn.XLOOKUP(tblOrders[[#This Row],[ProductID]],Products!$A$2:$A$9,Products!$D$2:$D$9,0)</f>
        <v>1300</v>
      </c>
      <c r="M549">
        <f>tblOrders[[#This Row],[Quantity]]*tblOrders[[#This Row],[UnitPrice]]*(1-tblOrders[[#This Row],[Discount]])</f>
        <v>19800</v>
      </c>
      <c r="N549">
        <f>tblOrders[[#This Row],[Quantity]]*tblOrders[[#This Row],[UnitCost]]</f>
        <v>14300</v>
      </c>
      <c r="O549">
        <f>tblOrders[[#This Row],[Revenue]]-tblOrders[[#This Row],[Cost]]</f>
        <v>5500</v>
      </c>
      <c r="P549" t="str">
        <f>TEXT(tblOrders[[#This Row],[OrderDate]],"mmm")</f>
        <v>Mar</v>
      </c>
    </row>
    <row r="550" spans="1:16" x14ac:dyDescent="0.25">
      <c r="A550" t="s">
        <v>941</v>
      </c>
      <c r="B550" s="2">
        <v>45823</v>
      </c>
      <c r="C550" t="s">
        <v>207</v>
      </c>
      <c r="D550" t="s">
        <v>39</v>
      </c>
      <c r="E550" t="s">
        <v>40</v>
      </c>
      <c r="F550" t="s">
        <v>55</v>
      </c>
      <c r="G550">
        <v>5</v>
      </c>
      <c r="H550">
        <v>8000</v>
      </c>
      <c r="I550">
        <v>0.05</v>
      </c>
      <c r="J550" t="str">
        <f>_xlfn.XLOOKUP(tblOrders[[#This Row],[ProductID]],Products!$A$2:$A$9,Products!$B$2:$B$9,"Unknown")</f>
        <v>Printer</v>
      </c>
      <c r="K550" t="str">
        <f>_xlfn.XLOOKUP(tblOrders[[#This Row],[ProductID]],Products!$A$2:$A$9,Products!$C$2:$C$9,"Unknown")</f>
        <v>Electronics</v>
      </c>
      <c r="L550">
        <f>_xlfn.XLOOKUP(tblOrders[[#This Row],[ProductID]],Products!$A$2:$A$9,Products!$D$2:$D$9,0)</f>
        <v>6200</v>
      </c>
      <c r="M550">
        <f>tblOrders[[#This Row],[Quantity]]*tblOrders[[#This Row],[UnitPrice]]*(1-tblOrders[[#This Row],[Discount]])</f>
        <v>38000</v>
      </c>
      <c r="N550">
        <f>tblOrders[[#This Row],[Quantity]]*tblOrders[[#This Row],[UnitCost]]</f>
        <v>31000</v>
      </c>
      <c r="O550">
        <f>tblOrders[[#This Row],[Revenue]]-tblOrders[[#This Row],[Cost]]</f>
        <v>7000</v>
      </c>
      <c r="P550" t="str">
        <f>TEXT(tblOrders[[#This Row],[OrderDate]],"mmm")</f>
        <v>Jun</v>
      </c>
    </row>
    <row r="551" spans="1:16" x14ac:dyDescent="0.25">
      <c r="A551" t="s">
        <v>501</v>
      </c>
      <c r="B551" s="2">
        <v>45792</v>
      </c>
      <c r="C551" t="s">
        <v>113</v>
      </c>
      <c r="D551" t="s">
        <v>11</v>
      </c>
      <c r="E551" t="s">
        <v>12</v>
      </c>
      <c r="F551" t="s">
        <v>64</v>
      </c>
      <c r="G551">
        <v>9</v>
      </c>
      <c r="H551">
        <v>500</v>
      </c>
      <c r="I551">
        <v>0.15</v>
      </c>
      <c r="J551" t="str">
        <f>_xlfn.XLOOKUP(tblOrders[[#This Row],[ProductID]],Products!$A$2:$A$9,Products!$B$2:$B$9,"Unknown")</f>
        <v>Mouse</v>
      </c>
      <c r="K551" t="str">
        <f>_xlfn.XLOOKUP(tblOrders[[#This Row],[ProductID]],Products!$A$2:$A$9,Products!$C$2:$C$9,"Unknown")</f>
        <v>Accessories</v>
      </c>
      <c r="L551">
        <f>_xlfn.XLOOKUP(tblOrders[[#This Row],[ProductID]],Products!$A$2:$A$9,Products!$D$2:$D$9,0)</f>
        <v>320</v>
      </c>
      <c r="M551">
        <f>tblOrders[[#This Row],[Quantity]]*tblOrders[[#This Row],[UnitPrice]]*(1-tblOrders[[#This Row],[Discount]])</f>
        <v>3825</v>
      </c>
      <c r="N551">
        <f>tblOrders[[#This Row],[Quantity]]*tblOrders[[#This Row],[UnitCost]]</f>
        <v>2880</v>
      </c>
      <c r="O551">
        <f>tblOrders[[#This Row],[Revenue]]-tblOrders[[#This Row],[Cost]]</f>
        <v>945</v>
      </c>
      <c r="P551" t="str">
        <f>TEXT(tblOrders[[#This Row],[OrderDate]],"mmm")</f>
        <v>May</v>
      </c>
    </row>
    <row r="552" spans="1:16" x14ac:dyDescent="0.25">
      <c r="A552" t="s">
        <v>246</v>
      </c>
      <c r="B552" s="2">
        <v>45935</v>
      </c>
      <c r="C552" t="s">
        <v>113</v>
      </c>
      <c r="D552" t="s">
        <v>16</v>
      </c>
      <c r="E552" t="s">
        <v>33</v>
      </c>
      <c r="F552" t="s">
        <v>55</v>
      </c>
      <c r="G552">
        <v>7</v>
      </c>
      <c r="H552">
        <v>8000</v>
      </c>
      <c r="I552">
        <v>0.1</v>
      </c>
      <c r="J552" t="str">
        <f>_xlfn.XLOOKUP(tblOrders[[#This Row],[ProductID]],Products!$A$2:$A$9,Products!$B$2:$B$9,"Unknown")</f>
        <v>Printer</v>
      </c>
      <c r="K552" t="str">
        <f>_xlfn.XLOOKUP(tblOrders[[#This Row],[ProductID]],Products!$A$2:$A$9,Products!$C$2:$C$9,"Unknown")</f>
        <v>Electronics</v>
      </c>
      <c r="L552">
        <f>_xlfn.XLOOKUP(tblOrders[[#This Row],[ProductID]],Products!$A$2:$A$9,Products!$D$2:$D$9,0)</f>
        <v>6200</v>
      </c>
      <c r="M552">
        <f>tblOrders[[#This Row],[Quantity]]*tblOrders[[#This Row],[UnitPrice]]*(1-tblOrders[[#This Row],[Discount]])</f>
        <v>50400</v>
      </c>
      <c r="N552">
        <f>tblOrders[[#This Row],[Quantity]]*tblOrders[[#This Row],[UnitCost]]</f>
        <v>43400</v>
      </c>
      <c r="O552">
        <f>tblOrders[[#This Row],[Revenue]]-tblOrders[[#This Row],[Cost]]</f>
        <v>7000</v>
      </c>
      <c r="P552" t="str">
        <f>TEXT(tblOrders[[#This Row],[OrderDate]],"mmm")</f>
        <v>Oct</v>
      </c>
    </row>
    <row r="553" spans="1:16" x14ac:dyDescent="0.25">
      <c r="A553" t="s">
        <v>776</v>
      </c>
      <c r="B553" s="2">
        <v>45658</v>
      </c>
      <c r="C553" t="s">
        <v>54</v>
      </c>
      <c r="D553" t="s">
        <v>21</v>
      </c>
      <c r="E553" t="s">
        <v>28</v>
      </c>
      <c r="F553" t="s">
        <v>34</v>
      </c>
      <c r="G553">
        <v>12</v>
      </c>
      <c r="H553">
        <v>55000</v>
      </c>
      <c r="I553">
        <v>0</v>
      </c>
      <c r="J553" t="str">
        <f>_xlfn.XLOOKUP(tblOrders[[#This Row],[ProductID]],Products!$A$2:$A$9,Products!$B$2:$B$9,"Unknown")</f>
        <v>Laptop</v>
      </c>
      <c r="K553" t="str">
        <f>_xlfn.XLOOKUP(tblOrders[[#This Row],[ProductID]],Products!$A$2:$A$9,Products!$C$2:$C$9,"Unknown")</f>
        <v>Electronics</v>
      </c>
      <c r="L553">
        <f>_xlfn.XLOOKUP(tblOrders[[#This Row],[ProductID]],Products!$A$2:$A$9,Products!$D$2:$D$9,0)</f>
        <v>41000</v>
      </c>
      <c r="M553">
        <f>tblOrders[[#This Row],[Quantity]]*tblOrders[[#This Row],[UnitPrice]]*(1-tblOrders[[#This Row],[Discount]])</f>
        <v>660000</v>
      </c>
      <c r="N553">
        <f>tblOrders[[#This Row],[Quantity]]*tblOrders[[#This Row],[UnitCost]]</f>
        <v>492000</v>
      </c>
      <c r="O553">
        <f>tblOrders[[#This Row],[Revenue]]-tblOrders[[#This Row],[Cost]]</f>
        <v>168000</v>
      </c>
      <c r="P553" t="str">
        <f>TEXT(tblOrders[[#This Row],[OrderDate]],"mmm")</f>
        <v>Jan</v>
      </c>
    </row>
    <row r="554" spans="1:16" x14ac:dyDescent="0.25">
      <c r="A554" t="s">
        <v>777</v>
      </c>
      <c r="B554" s="2">
        <v>45986</v>
      </c>
      <c r="C554" t="s">
        <v>61</v>
      </c>
      <c r="D554" t="s">
        <v>16</v>
      </c>
      <c r="E554" t="s">
        <v>17</v>
      </c>
      <c r="F554" t="s">
        <v>43</v>
      </c>
      <c r="G554">
        <v>9</v>
      </c>
      <c r="H554">
        <v>1500</v>
      </c>
      <c r="I554">
        <v>0.15</v>
      </c>
      <c r="J554" t="str">
        <f>_xlfn.XLOOKUP(tblOrders[[#This Row],[ProductID]],Products!$A$2:$A$9,Products!$B$2:$B$9,"Unknown")</f>
        <v>Webcam</v>
      </c>
      <c r="K554" t="str">
        <f>_xlfn.XLOOKUP(tblOrders[[#This Row],[ProductID]],Products!$A$2:$A$9,Products!$C$2:$C$9,"Unknown")</f>
        <v>Accessories</v>
      </c>
      <c r="L554">
        <f>_xlfn.XLOOKUP(tblOrders[[#This Row],[ProductID]],Products!$A$2:$A$9,Products!$D$2:$D$9,0)</f>
        <v>980</v>
      </c>
      <c r="M554">
        <f>tblOrders[[#This Row],[Quantity]]*tblOrders[[#This Row],[UnitPrice]]*(1-tblOrders[[#This Row],[Discount]])</f>
        <v>11475</v>
      </c>
      <c r="N554">
        <f>tblOrders[[#This Row],[Quantity]]*tblOrders[[#This Row],[UnitCost]]</f>
        <v>8820</v>
      </c>
      <c r="O554">
        <f>tblOrders[[#This Row],[Revenue]]-tblOrders[[#This Row],[Cost]]</f>
        <v>2655</v>
      </c>
      <c r="P554" t="str">
        <f>TEXT(tblOrders[[#This Row],[OrderDate]],"mmm")</f>
        <v>Nov</v>
      </c>
    </row>
    <row r="555" spans="1:16" x14ac:dyDescent="0.25">
      <c r="A555" t="s">
        <v>947</v>
      </c>
      <c r="B555" s="2">
        <v>45878</v>
      </c>
      <c r="C555" t="s">
        <v>90</v>
      </c>
      <c r="D555" t="s">
        <v>11</v>
      </c>
      <c r="E555" t="s">
        <v>46</v>
      </c>
      <c r="F555" t="s">
        <v>43</v>
      </c>
      <c r="G555">
        <v>3</v>
      </c>
      <c r="H555">
        <v>1500</v>
      </c>
      <c r="I555">
        <v>0.15</v>
      </c>
      <c r="J555" t="str">
        <f>_xlfn.XLOOKUP(tblOrders[[#This Row],[ProductID]],Products!$A$2:$A$9,Products!$B$2:$B$9,"Unknown")</f>
        <v>Webcam</v>
      </c>
      <c r="K555" t="str">
        <f>_xlfn.XLOOKUP(tblOrders[[#This Row],[ProductID]],Products!$A$2:$A$9,Products!$C$2:$C$9,"Unknown")</f>
        <v>Accessories</v>
      </c>
      <c r="L555">
        <f>_xlfn.XLOOKUP(tblOrders[[#This Row],[ProductID]],Products!$A$2:$A$9,Products!$D$2:$D$9,0)</f>
        <v>980</v>
      </c>
      <c r="M555">
        <f>tblOrders[[#This Row],[Quantity]]*tblOrders[[#This Row],[UnitPrice]]*(1-tblOrders[[#This Row],[Discount]])</f>
        <v>3825</v>
      </c>
      <c r="N555">
        <f>tblOrders[[#This Row],[Quantity]]*tblOrders[[#This Row],[UnitCost]]</f>
        <v>2940</v>
      </c>
      <c r="O555">
        <f>tblOrders[[#This Row],[Revenue]]-tblOrders[[#This Row],[Cost]]</f>
        <v>885</v>
      </c>
      <c r="P555" t="str">
        <f>TEXT(tblOrders[[#This Row],[OrderDate]],"mmm")</f>
        <v>Aug</v>
      </c>
    </row>
    <row r="556" spans="1:16" x14ac:dyDescent="0.25">
      <c r="A556" t="s">
        <v>1033</v>
      </c>
      <c r="B556" s="2">
        <v>46002</v>
      </c>
      <c r="C556" t="s">
        <v>15</v>
      </c>
      <c r="D556" t="s">
        <v>39</v>
      </c>
      <c r="E556" t="s">
        <v>40</v>
      </c>
      <c r="F556" t="s">
        <v>23</v>
      </c>
      <c r="G556">
        <v>6</v>
      </c>
      <c r="H556">
        <v>900</v>
      </c>
      <c r="I556">
        <v>0.1</v>
      </c>
      <c r="J556" t="str">
        <f>_xlfn.XLOOKUP(tblOrders[[#This Row],[ProductID]],Products!$A$2:$A$9,Products!$B$2:$B$9,"Unknown")</f>
        <v>Keyboard</v>
      </c>
      <c r="K556" t="str">
        <f>_xlfn.XLOOKUP(tblOrders[[#This Row],[ProductID]],Products!$A$2:$A$9,Products!$C$2:$C$9,"Unknown")</f>
        <v>Accessories</v>
      </c>
      <c r="L556">
        <f>_xlfn.XLOOKUP(tblOrders[[#This Row],[ProductID]],Products!$A$2:$A$9,Products!$D$2:$D$9,0)</f>
        <v>600</v>
      </c>
      <c r="M556">
        <f>tblOrders[[#This Row],[Quantity]]*tblOrders[[#This Row],[UnitPrice]]*(1-tblOrders[[#This Row],[Discount]])</f>
        <v>4860</v>
      </c>
      <c r="N556">
        <f>tblOrders[[#This Row],[Quantity]]*tblOrders[[#This Row],[UnitCost]]</f>
        <v>3600</v>
      </c>
      <c r="O556">
        <f>tblOrders[[#This Row],[Revenue]]-tblOrders[[#This Row],[Cost]]</f>
        <v>1260</v>
      </c>
      <c r="P556" t="str">
        <f>TEXT(tblOrders[[#This Row],[OrderDate]],"mmm")</f>
        <v>Dec</v>
      </c>
    </row>
    <row r="557" spans="1:16" x14ac:dyDescent="0.25">
      <c r="A557" t="s">
        <v>750</v>
      </c>
      <c r="B557" s="2">
        <v>45818</v>
      </c>
      <c r="C557" t="s">
        <v>121</v>
      </c>
      <c r="D557" t="s">
        <v>39</v>
      </c>
      <c r="E557" t="s">
        <v>40</v>
      </c>
      <c r="F557" t="s">
        <v>69</v>
      </c>
      <c r="G557">
        <v>15</v>
      </c>
      <c r="H557">
        <v>12000</v>
      </c>
      <c r="I557">
        <v>0.15</v>
      </c>
      <c r="J557" t="str">
        <f>_xlfn.XLOOKUP(tblOrders[[#This Row],[ProductID]],Products!$A$2:$A$9,Products!$B$2:$B$9,"Unknown")</f>
        <v>Monitor</v>
      </c>
      <c r="K557" t="str">
        <f>_xlfn.XLOOKUP(tblOrders[[#This Row],[ProductID]],Products!$A$2:$A$9,Products!$C$2:$C$9,"Unknown")</f>
        <v>Electronics</v>
      </c>
      <c r="L557">
        <f>_xlfn.XLOOKUP(tblOrders[[#This Row],[ProductID]],Products!$A$2:$A$9,Products!$D$2:$D$9,0)</f>
        <v>9000</v>
      </c>
      <c r="M557">
        <f>tblOrders[[#This Row],[Quantity]]*tblOrders[[#This Row],[UnitPrice]]*(1-tblOrders[[#This Row],[Discount]])</f>
        <v>153000</v>
      </c>
      <c r="N557">
        <f>tblOrders[[#This Row],[Quantity]]*tblOrders[[#This Row],[UnitCost]]</f>
        <v>135000</v>
      </c>
      <c r="O557">
        <f>tblOrders[[#This Row],[Revenue]]-tblOrders[[#This Row],[Cost]]</f>
        <v>18000</v>
      </c>
      <c r="P557" t="str">
        <f>TEXT(tblOrders[[#This Row],[OrderDate]],"mmm")</f>
        <v>Jun</v>
      </c>
    </row>
    <row r="558" spans="1:16" x14ac:dyDescent="0.25">
      <c r="A558" t="s">
        <v>893</v>
      </c>
      <c r="B558" s="2">
        <v>45973</v>
      </c>
      <c r="C558" t="s">
        <v>48</v>
      </c>
      <c r="D558" t="s">
        <v>11</v>
      </c>
      <c r="E558" t="s">
        <v>12</v>
      </c>
      <c r="F558" t="s">
        <v>34</v>
      </c>
      <c r="G558">
        <v>7</v>
      </c>
      <c r="H558">
        <v>55000</v>
      </c>
      <c r="I558">
        <v>0.05</v>
      </c>
      <c r="J558" t="str">
        <f>_xlfn.XLOOKUP(tblOrders[[#This Row],[ProductID]],Products!$A$2:$A$9,Products!$B$2:$B$9,"Unknown")</f>
        <v>Laptop</v>
      </c>
      <c r="K558" t="str">
        <f>_xlfn.XLOOKUP(tblOrders[[#This Row],[ProductID]],Products!$A$2:$A$9,Products!$C$2:$C$9,"Unknown")</f>
        <v>Electronics</v>
      </c>
      <c r="L558">
        <f>_xlfn.XLOOKUP(tblOrders[[#This Row],[ProductID]],Products!$A$2:$A$9,Products!$D$2:$D$9,0)</f>
        <v>41000</v>
      </c>
      <c r="M558">
        <f>tblOrders[[#This Row],[Quantity]]*tblOrders[[#This Row],[UnitPrice]]*(1-tblOrders[[#This Row],[Discount]])</f>
        <v>365750</v>
      </c>
      <c r="N558">
        <f>tblOrders[[#This Row],[Quantity]]*tblOrders[[#This Row],[UnitCost]]</f>
        <v>287000</v>
      </c>
      <c r="O558">
        <f>tblOrders[[#This Row],[Revenue]]-tblOrders[[#This Row],[Cost]]</f>
        <v>78750</v>
      </c>
      <c r="P558" t="str">
        <f>TEXT(tblOrders[[#This Row],[OrderDate]],"mmm")</f>
        <v>Nov</v>
      </c>
    </row>
    <row r="559" spans="1:16" x14ac:dyDescent="0.25">
      <c r="A559" t="s">
        <v>1023</v>
      </c>
      <c r="B559" s="2">
        <v>45676</v>
      </c>
      <c r="C559" t="s">
        <v>85</v>
      </c>
      <c r="D559" t="s">
        <v>11</v>
      </c>
      <c r="E559" t="s">
        <v>46</v>
      </c>
      <c r="F559" t="s">
        <v>43</v>
      </c>
      <c r="G559">
        <v>11</v>
      </c>
      <c r="H559">
        <v>1500</v>
      </c>
      <c r="I559">
        <v>0</v>
      </c>
      <c r="J559" t="str">
        <f>_xlfn.XLOOKUP(tblOrders[[#This Row],[ProductID]],Products!$A$2:$A$9,Products!$B$2:$B$9,"Unknown")</f>
        <v>Webcam</v>
      </c>
      <c r="K559" t="str">
        <f>_xlfn.XLOOKUP(tblOrders[[#This Row],[ProductID]],Products!$A$2:$A$9,Products!$C$2:$C$9,"Unknown")</f>
        <v>Accessories</v>
      </c>
      <c r="L559">
        <f>_xlfn.XLOOKUP(tblOrders[[#This Row],[ProductID]],Products!$A$2:$A$9,Products!$D$2:$D$9,0)</f>
        <v>980</v>
      </c>
      <c r="M559">
        <f>tblOrders[[#This Row],[Quantity]]*tblOrders[[#This Row],[UnitPrice]]*(1-tblOrders[[#This Row],[Discount]])</f>
        <v>16500</v>
      </c>
      <c r="N559">
        <f>tblOrders[[#This Row],[Quantity]]*tblOrders[[#This Row],[UnitCost]]</f>
        <v>10780</v>
      </c>
      <c r="O559">
        <f>tblOrders[[#This Row],[Revenue]]-tblOrders[[#This Row],[Cost]]</f>
        <v>5720</v>
      </c>
      <c r="P559" t="str">
        <f>TEXT(tblOrders[[#This Row],[OrderDate]],"mmm")</f>
        <v>Jan</v>
      </c>
    </row>
    <row r="560" spans="1:16" x14ac:dyDescent="0.25">
      <c r="A560" t="s">
        <v>609</v>
      </c>
      <c r="B560" s="2">
        <v>45938</v>
      </c>
      <c r="C560" t="s">
        <v>52</v>
      </c>
      <c r="D560" t="s">
        <v>39</v>
      </c>
      <c r="E560" t="s">
        <v>40</v>
      </c>
      <c r="F560" t="s">
        <v>64</v>
      </c>
      <c r="G560">
        <v>2</v>
      </c>
      <c r="H560">
        <v>500</v>
      </c>
      <c r="I560">
        <v>0</v>
      </c>
      <c r="J560" t="str">
        <f>_xlfn.XLOOKUP(tblOrders[[#This Row],[ProductID]],Products!$A$2:$A$9,Products!$B$2:$B$9,"Unknown")</f>
        <v>Mouse</v>
      </c>
      <c r="K560" t="str">
        <f>_xlfn.XLOOKUP(tblOrders[[#This Row],[ProductID]],Products!$A$2:$A$9,Products!$C$2:$C$9,"Unknown")</f>
        <v>Accessories</v>
      </c>
      <c r="L560">
        <f>_xlfn.XLOOKUP(tblOrders[[#This Row],[ProductID]],Products!$A$2:$A$9,Products!$D$2:$D$9,0)</f>
        <v>320</v>
      </c>
      <c r="M560">
        <f>tblOrders[[#This Row],[Quantity]]*tblOrders[[#This Row],[UnitPrice]]*(1-tblOrders[[#This Row],[Discount]])</f>
        <v>1000</v>
      </c>
      <c r="N560">
        <f>tblOrders[[#This Row],[Quantity]]*tblOrders[[#This Row],[UnitCost]]</f>
        <v>640</v>
      </c>
      <c r="O560">
        <f>tblOrders[[#This Row],[Revenue]]-tblOrders[[#This Row],[Cost]]</f>
        <v>360</v>
      </c>
      <c r="P560" t="str">
        <f>TEXT(tblOrders[[#This Row],[OrderDate]],"mmm")</f>
        <v>Oct</v>
      </c>
    </row>
    <row r="561" spans="1:16" x14ac:dyDescent="0.25">
      <c r="A561" t="s">
        <v>636</v>
      </c>
      <c r="B561" s="2">
        <v>45901</v>
      </c>
      <c r="C561" t="s">
        <v>132</v>
      </c>
      <c r="D561" t="s">
        <v>11</v>
      </c>
      <c r="E561" t="s">
        <v>12</v>
      </c>
      <c r="F561" t="s">
        <v>18</v>
      </c>
      <c r="G561">
        <v>1</v>
      </c>
      <c r="H561">
        <v>18000</v>
      </c>
      <c r="I561">
        <v>0.1</v>
      </c>
      <c r="J561" t="str">
        <f>_xlfn.XLOOKUP(tblOrders[[#This Row],[ProductID]],Products!$A$2:$A$9,Products!$B$2:$B$9,"Unknown")</f>
        <v>Tablet</v>
      </c>
      <c r="K561" t="str">
        <f>_xlfn.XLOOKUP(tblOrders[[#This Row],[ProductID]],Products!$A$2:$A$9,Products!$C$2:$C$9,"Unknown")</f>
        <v>Electronics</v>
      </c>
      <c r="L561">
        <f>_xlfn.XLOOKUP(tblOrders[[#This Row],[ProductID]],Products!$A$2:$A$9,Products!$D$2:$D$9,0)</f>
        <v>13500</v>
      </c>
      <c r="M561">
        <f>tblOrders[[#This Row],[Quantity]]*tblOrders[[#This Row],[UnitPrice]]*(1-tblOrders[[#This Row],[Discount]])</f>
        <v>16200</v>
      </c>
      <c r="N561">
        <f>tblOrders[[#This Row],[Quantity]]*tblOrders[[#This Row],[UnitCost]]</f>
        <v>13500</v>
      </c>
      <c r="O561">
        <f>tblOrders[[#This Row],[Revenue]]-tblOrders[[#This Row],[Cost]]</f>
        <v>2700</v>
      </c>
      <c r="P561" t="str">
        <f>TEXT(tblOrders[[#This Row],[OrderDate]],"mmm")</f>
        <v>Sep</v>
      </c>
    </row>
    <row r="562" spans="1:16" x14ac:dyDescent="0.25">
      <c r="A562" t="s">
        <v>834</v>
      </c>
      <c r="B562" s="2">
        <v>45740</v>
      </c>
      <c r="C562" t="s">
        <v>115</v>
      </c>
      <c r="D562" t="s">
        <v>16</v>
      </c>
      <c r="E562" t="s">
        <v>33</v>
      </c>
      <c r="F562" t="s">
        <v>69</v>
      </c>
      <c r="G562">
        <v>2</v>
      </c>
      <c r="H562">
        <v>12000</v>
      </c>
      <c r="I562">
        <v>0.1</v>
      </c>
      <c r="J562" t="str">
        <f>_xlfn.XLOOKUP(tblOrders[[#This Row],[ProductID]],Products!$A$2:$A$9,Products!$B$2:$B$9,"Unknown")</f>
        <v>Monitor</v>
      </c>
      <c r="K562" t="str">
        <f>_xlfn.XLOOKUP(tblOrders[[#This Row],[ProductID]],Products!$A$2:$A$9,Products!$C$2:$C$9,"Unknown")</f>
        <v>Electronics</v>
      </c>
      <c r="L562">
        <f>_xlfn.XLOOKUP(tblOrders[[#This Row],[ProductID]],Products!$A$2:$A$9,Products!$D$2:$D$9,0)</f>
        <v>9000</v>
      </c>
      <c r="M562">
        <f>tblOrders[[#This Row],[Quantity]]*tblOrders[[#This Row],[UnitPrice]]*(1-tblOrders[[#This Row],[Discount]])</f>
        <v>21600</v>
      </c>
      <c r="N562">
        <f>tblOrders[[#This Row],[Quantity]]*tblOrders[[#This Row],[UnitCost]]</f>
        <v>18000</v>
      </c>
      <c r="O562">
        <f>tblOrders[[#This Row],[Revenue]]-tblOrders[[#This Row],[Cost]]</f>
        <v>3600</v>
      </c>
      <c r="P562" t="str">
        <f>TEXT(tblOrders[[#This Row],[OrderDate]],"mmm")</f>
        <v>Mar</v>
      </c>
    </row>
    <row r="563" spans="1:16" x14ac:dyDescent="0.25">
      <c r="A563" t="s">
        <v>773</v>
      </c>
      <c r="B563" s="2">
        <v>45719</v>
      </c>
      <c r="C563" t="s">
        <v>36</v>
      </c>
      <c r="D563" t="s">
        <v>16</v>
      </c>
      <c r="E563" t="s">
        <v>17</v>
      </c>
      <c r="F563" t="s">
        <v>64</v>
      </c>
      <c r="G563">
        <v>15</v>
      </c>
      <c r="H563">
        <v>500</v>
      </c>
      <c r="I563">
        <v>0.05</v>
      </c>
      <c r="J563" t="str">
        <f>_xlfn.XLOOKUP(tblOrders[[#This Row],[ProductID]],Products!$A$2:$A$9,Products!$B$2:$B$9,"Unknown")</f>
        <v>Mouse</v>
      </c>
      <c r="K563" t="str">
        <f>_xlfn.XLOOKUP(tblOrders[[#This Row],[ProductID]],Products!$A$2:$A$9,Products!$C$2:$C$9,"Unknown")</f>
        <v>Accessories</v>
      </c>
      <c r="L563">
        <f>_xlfn.XLOOKUP(tblOrders[[#This Row],[ProductID]],Products!$A$2:$A$9,Products!$D$2:$D$9,0)</f>
        <v>320</v>
      </c>
      <c r="M563">
        <f>tblOrders[[#This Row],[Quantity]]*tblOrders[[#This Row],[UnitPrice]]*(1-tblOrders[[#This Row],[Discount]])</f>
        <v>7125</v>
      </c>
      <c r="N563">
        <f>tblOrders[[#This Row],[Quantity]]*tblOrders[[#This Row],[UnitCost]]</f>
        <v>4800</v>
      </c>
      <c r="O563">
        <f>tblOrders[[#This Row],[Revenue]]-tblOrders[[#This Row],[Cost]]</f>
        <v>2325</v>
      </c>
      <c r="P563" t="str">
        <f>TEXT(tblOrders[[#This Row],[OrderDate]],"mmm")</f>
        <v>Mar</v>
      </c>
    </row>
    <row r="564" spans="1:16" x14ac:dyDescent="0.25">
      <c r="A564" t="s">
        <v>649</v>
      </c>
      <c r="B564" s="2">
        <v>45685</v>
      </c>
      <c r="C564" t="s">
        <v>54</v>
      </c>
      <c r="D564" t="s">
        <v>16</v>
      </c>
      <c r="E564" t="s">
        <v>33</v>
      </c>
      <c r="F564" t="s">
        <v>23</v>
      </c>
      <c r="G564">
        <v>8</v>
      </c>
      <c r="H564">
        <v>900</v>
      </c>
      <c r="I564">
        <v>0</v>
      </c>
      <c r="J564" t="str">
        <f>_xlfn.XLOOKUP(tblOrders[[#This Row],[ProductID]],Products!$A$2:$A$9,Products!$B$2:$B$9,"Unknown")</f>
        <v>Keyboard</v>
      </c>
      <c r="K564" t="str">
        <f>_xlfn.XLOOKUP(tblOrders[[#This Row],[ProductID]],Products!$A$2:$A$9,Products!$C$2:$C$9,"Unknown")</f>
        <v>Accessories</v>
      </c>
      <c r="L564">
        <f>_xlfn.XLOOKUP(tblOrders[[#This Row],[ProductID]],Products!$A$2:$A$9,Products!$D$2:$D$9,0)</f>
        <v>600</v>
      </c>
      <c r="M564">
        <f>tblOrders[[#This Row],[Quantity]]*tblOrders[[#This Row],[UnitPrice]]*(1-tblOrders[[#This Row],[Discount]])</f>
        <v>7200</v>
      </c>
      <c r="N564">
        <f>tblOrders[[#This Row],[Quantity]]*tblOrders[[#This Row],[UnitCost]]</f>
        <v>4800</v>
      </c>
      <c r="O564">
        <f>tblOrders[[#This Row],[Revenue]]-tblOrders[[#This Row],[Cost]]</f>
        <v>2400</v>
      </c>
      <c r="P564" t="str">
        <f>TEXT(tblOrders[[#This Row],[OrderDate]],"mmm")</f>
        <v>Jan</v>
      </c>
    </row>
    <row r="565" spans="1:16" x14ac:dyDescent="0.25">
      <c r="A565" t="s">
        <v>603</v>
      </c>
      <c r="B565" s="2">
        <v>45897</v>
      </c>
      <c r="C565" t="s">
        <v>48</v>
      </c>
      <c r="D565" t="s">
        <v>11</v>
      </c>
      <c r="E565" t="s">
        <v>46</v>
      </c>
      <c r="F565" t="s">
        <v>34</v>
      </c>
      <c r="G565">
        <v>8</v>
      </c>
      <c r="H565">
        <v>55000</v>
      </c>
      <c r="I565">
        <v>0.05</v>
      </c>
      <c r="J565" t="str">
        <f>_xlfn.XLOOKUP(tblOrders[[#This Row],[ProductID]],Products!$A$2:$A$9,Products!$B$2:$B$9,"Unknown")</f>
        <v>Laptop</v>
      </c>
      <c r="K565" t="str">
        <f>_xlfn.XLOOKUP(tblOrders[[#This Row],[ProductID]],Products!$A$2:$A$9,Products!$C$2:$C$9,"Unknown")</f>
        <v>Electronics</v>
      </c>
      <c r="L565">
        <f>_xlfn.XLOOKUP(tblOrders[[#This Row],[ProductID]],Products!$A$2:$A$9,Products!$D$2:$D$9,0)</f>
        <v>41000</v>
      </c>
      <c r="M565">
        <f>tblOrders[[#This Row],[Quantity]]*tblOrders[[#This Row],[UnitPrice]]*(1-tblOrders[[#This Row],[Discount]])</f>
        <v>418000</v>
      </c>
      <c r="N565">
        <f>tblOrders[[#This Row],[Quantity]]*tblOrders[[#This Row],[UnitCost]]</f>
        <v>328000</v>
      </c>
      <c r="O565">
        <f>tblOrders[[#This Row],[Revenue]]-tblOrders[[#This Row],[Cost]]</f>
        <v>90000</v>
      </c>
      <c r="P565" t="str">
        <f>TEXT(tblOrders[[#This Row],[OrderDate]],"mmm")</f>
        <v>Aug</v>
      </c>
    </row>
    <row r="566" spans="1:16" x14ac:dyDescent="0.25">
      <c r="A566" t="s">
        <v>672</v>
      </c>
      <c r="B566" s="2">
        <v>45904</v>
      </c>
      <c r="C566" t="s">
        <v>78</v>
      </c>
      <c r="D566" t="s">
        <v>11</v>
      </c>
      <c r="E566" t="s">
        <v>46</v>
      </c>
      <c r="F566" t="s">
        <v>23</v>
      </c>
      <c r="G566">
        <v>1</v>
      </c>
      <c r="H566">
        <v>900</v>
      </c>
      <c r="I566">
        <v>0.1</v>
      </c>
      <c r="J566" t="str">
        <f>_xlfn.XLOOKUP(tblOrders[[#This Row],[ProductID]],Products!$A$2:$A$9,Products!$B$2:$B$9,"Unknown")</f>
        <v>Keyboard</v>
      </c>
      <c r="K566" t="str">
        <f>_xlfn.XLOOKUP(tblOrders[[#This Row],[ProductID]],Products!$A$2:$A$9,Products!$C$2:$C$9,"Unknown")</f>
        <v>Accessories</v>
      </c>
      <c r="L566">
        <f>_xlfn.XLOOKUP(tblOrders[[#This Row],[ProductID]],Products!$A$2:$A$9,Products!$D$2:$D$9,0)</f>
        <v>600</v>
      </c>
      <c r="M566">
        <f>tblOrders[[#This Row],[Quantity]]*tblOrders[[#This Row],[UnitPrice]]*(1-tblOrders[[#This Row],[Discount]])</f>
        <v>810</v>
      </c>
      <c r="N566">
        <f>tblOrders[[#This Row],[Quantity]]*tblOrders[[#This Row],[UnitCost]]</f>
        <v>600</v>
      </c>
      <c r="O566">
        <f>tblOrders[[#This Row],[Revenue]]-tblOrders[[#This Row],[Cost]]</f>
        <v>210</v>
      </c>
      <c r="P566" t="str">
        <f>TEXT(tblOrders[[#This Row],[OrderDate]],"mmm")</f>
        <v>Sep</v>
      </c>
    </row>
    <row r="567" spans="1:16" x14ac:dyDescent="0.25">
      <c r="A567" t="s">
        <v>427</v>
      </c>
      <c r="B567" s="2">
        <v>45968</v>
      </c>
      <c r="C567" t="s">
        <v>32</v>
      </c>
      <c r="D567" t="s">
        <v>16</v>
      </c>
      <c r="E567" t="s">
        <v>17</v>
      </c>
      <c r="F567" t="s">
        <v>18</v>
      </c>
      <c r="G567">
        <v>13</v>
      </c>
      <c r="H567">
        <v>18000</v>
      </c>
      <c r="I567">
        <v>0.15</v>
      </c>
      <c r="J567" t="str">
        <f>_xlfn.XLOOKUP(tblOrders[[#This Row],[ProductID]],Products!$A$2:$A$9,Products!$B$2:$B$9,"Unknown")</f>
        <v>Tablet</v>
      </c>
      <c r="K567" t="str">
        <f>_xlfn.XLOOKUP(tblOrders[[#This Row],[ProductID]],Products!$A$2:$A$9,Products!$C$2:$C$9,"Unknown")</f>
        <v>Electronics</v>
      </c>
      <c r="L567">
        <f>_xlfn.XLOOKUP(tblOrders[[#This Row],[ProductID]],Products!$A$2:$A$9,Products!$D$2:$D$9,0)</f>
        <v>13500</v>
      </c>
      <c r="M567">
        <f>tblOrders[[#This Row],[Quantity]]*tblOrders[[#This Row],[UnitPrice]]*(1-tblOrders[[#This Row],[Discount]])</f>
        <v>198900</v>
      </c>
      <c r="N567">
        <f>tblOrders[[#This Row],[Quantity]]*tblOrders[[#This Row],[UnitCost]]</f>
        <v>175500</v>
      </c>
      <c r="O567">
        <f>tblOrders[[#This Row],[Revenue]]-tblOrders[[#This Row],[Cost]]</f>
        <v>23400</v>
      </c>
      <c r="P567" t="str">
        <f>TEXT(tblOrders[[#This Row],[OrderDate]],"mmm")</f>
        <v>Nov</v>
      </c>
    </row>
    <row r="568" spans="1:16" x14ac:dyDescent="0.25">
      <c r="A568" t="s">
        <v>503</v>
      </c>
      <c r="B568" s="2">
        <v>45891</v>
      </c>
      <c r="C568" t="s">
        <v>45</v>
      </c>
      <c r="D568" t="s">
        <v>39</v>
      </c>
      <c r="E568" t="s">
        <v>76</v>
      </c>
      <c r="F568" t="s">
        <v>23</v>
      </c>
      <c r="G568">
        <v>7</v>
      </c>
      <c r="H568">
        <v>900</v>
      </c>
      <c r="I568">
        <v>0.15</v>
      </c>
      <c r="J568" t="str">
        <f>_xlfn.XLOOKUP(tblOrders[[#This Row],[ProductID]],Products!$A$2:$A$9,Products!$B$2:$B$9,"Unknown")</f>
        <v>Keyboard</v>
      </c>
      <c r="K568" t="str">
        <f>_xlfn.XLOOKUP(tblOrders[[#This Row],[ProductID]],Products!$A$2:$A$9,Products!$C$2:$C$9,"Unknown")</f>
        <v>Accessories</v>
      </c>
      <c r="L568">
        <f>_xlfn.XLOOKUP(tblOrders[[#This Row],[ProductID]],Products!$A$2:$A$9,Products!$D$2:$D$9,0)</f>
        <v>600</v>
      </c>
      <c r="M568">
        <f>tblOrders[[#This Row],[Quantity]]*tblOrders[[#This Row],[UnitPrice]]*(1-tblOrders[[#This Row],[Discount]])</f>
        <v>5355</v>
      </c>
      <c r="N568">
        <f>tblOrders[[#This Row],[Quantity]]*tblOrders[[#This Row],[UnitCost]]</f>
        <v>4200</v>
      </c>
      <c r="O568">
        <f>tblOrders[[#This Row],[Revenue]]-tblOrders[[#This Row],[Cost]]</f>
        <v>1155</v>
      </c>
      <c r="P568" t="str">
        <f>TEXT(tblOrders[[#This Row],[OrderDate]],"mmm")</f>
        <v>Aug</v>
      </c>
    </row>
    <row r="569" spans="1:16" x14ac:dyDescent="0.25">
      <c r="A569" t="s">
        <v>435</v>
      </c>
      <c r="B569" s="2">
        <v>46007</v>
      </c>
      <c r="C569" t="s">
        <v>10</v>
      </c>
      <c r="D569" t="s">
        <v>39</v>
      </c>
      <c r="E569" t="s">
        <v>76</v>
      </c>
      <c r="F569" t="s">
        <v>64</v>
      </c>
      <c r="G569">
        <v>2</v>
      </c>
      <c r="H569">
        <v>500</v>
      </c>
      <c r="I569">
        <v>0</v>
      </c>
      <c r="J569" t="str">
        <f>_xlfn.XLOOKUP(tblOrders[[#This Row],[ProductID]],Products!$A$2:$A$9,Products!$B$2:$B$9,"Unknown")</f>
        <v>Mouse</v>
      </c>
      <c r="K569" t="str">
        <f>_xlfn.XLOOKUP(tblOrders[[#This Row],[ProductID]],Products!$A$2:$A$9,Products!$C$2:$C$9,"Unknown")</f>
        <v>Accessories</v>
      </c>
      <c r="L569">
        <f>_xlfn.XLOOKUP(tblOrders[[#This Row],[ProductID]],Products!$A$2:$A$9,Products!$D$2:$D$9,0)</f>
        <v>320</v>
      </c>
      <c r="M569">
        <f>tblOrders[[#This Row],[Quantity]]*tblOrders[[#This Row],[UnitPrice]]*(1-tblOrders[[#This Row],[Discount]])</f>
        <v>1000</v>
      </c>
      <c r="N569">
        <f>tblOrders[[#This Row],[Quantity]]*tblOrders[[#This Row],[UnitCost]]</f>
        <v>640</v>
      </c>
      <c r="O569">
        <f>tblOrders[[#This Row],[Revenue]]-tblOrders[[#This Row],[Cost]]</f>
        <v>360</v>
      </c>
      <c r="P569" t="str">
        <f>TEXT(tblOrders[[#This Row],[OrderDate]],"mmm")</f>
        <v>Dec</v>
      </c>
    </row>
    <row r="570" spans="1:16" x14ac:dyDescent="0.25">
      <c r="A570" t="s">
        <v>824</v>
      </c>
      <c r="B570" s="2">
        <v>45931</v>
      </c>
      <c r="C570" t="s">
        <v>71</v>
      </c>
      <c r="D570" t="s">
        <v>21</v>
      </c>
      <c r="E570" t="s">
        <v>28</v>
      </c>
      <c r="F570" t="s">
        <v>69</v>
      </c>
      <c r="G570">
        <v>8</v>
      </c>
      <c r="H570">
        <v>12000</v>
      </c>
      <c r="I570">
        <v>0</v>
      </c>
      <c r="J570" t="str">
        <f>_xlfn.XLOOKUP(tblOrders[[#This Row],[ProductID]],Products!$A$2:$A$9,Products!$B$2:$B$9,"Unknown")</f>
        <v>Monitor</v>
      </c>
      <c r="K570" t="str">
        <f>_xlfn.XLOOKUP(tblOrders[[#This Row],[ProductID]],Products!$A$2:$A$9,Products!$C$2:$C$9,"Unknown")</f>
        <v>Electronics</v>
      </c>
      <c r="L570">
        <f>_xlfn.XLOOKUP(tblOrders[[#This Row],[ProductID]],Products!$A$2:$A$9,Products!$D$2:$D$9,0)</f>
        <v>9000</v>
      </c>
      <c r="M570">
        <f>tblOrders[[#This Row],[Quantity]]*tblOrders[[#This Row],[UnitPrice]]*(1-tblOrders[[#This Row],[Discount]])</f>
        <v>96000</v>
      </c>
      <c r="N570">
        <f>tblOrders[[#This Row],[Quantity]]*tblOrders[[#This Row],[UnitCost]]</f>
        <v>72000</v>
      </c>
      <c r="O570">
        <f>tblOrders[[#This Row],[Revenue]]-tblOrders[[#This Row],[Cost]]</f>
        <v>24000</v>
      </c>
      <c r="P570" t="str">
        <f>TEXT(tblOrders[[#This Row],[OrderDate]],"mmm")</f>
        <v>Oct</v>
      </c>
    </row>
    <row r="571" spans="1:16" x14ac:dyDescent="0.25">
      <c r="A571" t="s">
        <v>864</v>
      </c>
      <c r="B571" s="2">
        <v>45708</v>
      </c>
      <c r="C571" t="s">
        <v>32</v>
      </c>
      <c r="D571" t="s">
        <v>11</v>
      </c>
      <c r="E571" t="s">
        <v>46</v>
      </c>
      <c r="F571" t="s">
        <v>69</v>
      </c>
      <c r="G571">
        <v>8</v>
      </c>
      <c r="H571">
        <v>12000</v>
      </c>
      <c r="I571">
        <v>0.15</v>
      </c>
      <c r="J571" t="str">
        <f>_xlfn.XLOOKUP(tblOrders[[#This Row],[ProductID]],Products!$A$2:$A$9,Products!$B$2:$B$9,"Unknown")</f>
        <v>Monitor</v>
      </c>
      <c r="K571" t="str">
        <f>_xlfn.XLOOKUP(tblOrders[[#This Row],[ProductID]],Products!$A$2:$A$9,Products!$C$2:$C$9,"Unknown")</f>
        <v>Electronics</v>
      </c>
      <c r="L571">
        <f>_xlfn.XLOOKUP(tblOrders[[#This Row],[ProductID]],Products!$A$2:$A$9,Products!$D$2:$D$9,0)</f>
        <v>9000</v>
      </c>
      <c r="M571">
        <f>tblOrders[[#This Row],[Quantity]]*tblOrders[[#This Row],[UnitPrice]]*(1-tblOrders[[#This Row],[Discount]])</f>
        <v>81600</v>
      </c>
      <c r="N571">
        <f>tblOrders[[#This Row],[Quantity]]*tblOrders[[#This Row],[UnitCost]]</f>
        <v>72000</v>
      </c>
      <c r="O571">
        <f>tblOrders[[#This Row],[Revenue]]-tblOrders[[#This Row],[Cost]]</f>
        <v>9600</v>
      </c>
      <c r="P571" t="str">
        <f>TEXT(tblOrders[[#This Row],[OrderDate]],"mmm")</f>
        <v>Feb</v>
      </c>
    </row>
    <row r="572" spans="1:16" x14ac:dyDescent="0.25">
      <c r="A572" t="s">
        <v>198</v>
      </c>
      <c r="B572" s="2">
        <v>45846</v>
      </c>
      <c r="C572" t="s">
        <v>38</v>
      </c>
      <c r="D572" t="s">
        <v>39</v>
      </c>
      <c r="E572" t="s">
        <v>40</v>
      </c>
      <c r="F572" t="s">
        <v>55</v>
      </c>
      <c r="G572">
        <v>12</v>
      </c>
      <c r="H572">
        <v>8000</v>
      </c>
      <c r="I572">
        <v>0</v>
      </c>
      <c r="J572" t="str">
        <f>_xlfn.XLOOKUP(tblOrders[[#This Row],[ProductID]],Products!$A$2:$A$9,Products!$B$2:$B$9,"Unknown")</f>
        <v>Printer</v>
      </c>
      <c r="K572" t="str">
        <f>_xlfn.XLOOKUP(tblOrders[[#This Row],[ProductID]],Products!$A$2:$A$9,Products!$C$2:$C$9,"Unknown")</f>
        <v>Electronics</v>
      </c>
      <c r="L572">
        <f>_xlfn.XLOOKUP(tblOrders[[#This Row],[ProductID]],Products!$A$2:$A$9,Products!$D$2:$D$9,0)</f>
        <v>6200</v>
      </c>
      <c r="M572">
        <f>tblOrders[[#This Row],[Quantity]]*tblOrders[[#This Row],[UnitPrice]]*(1-tblOrders[[#This Row],[Discount]])</f>
        <v>96000</v>
      </c>
      <c r="N572">
        <f>tblOrders[[#This Row],[Quantity]]*tblOrders[[#This Row],[UnitCost]]</f>
        <v>74400</v>
      </c>
      <c r="O572">
        <f>tblOrders[[#This Row],[Revenue]]-tblOrders[[#This Row],[Cost]]</f>
        <v>21600</v>
      </c>
      <c r="P572" t="str">
        <f>TEXT(tblOrders[[#This Row],[OrderDate]],"mmm")</f>
        <v>Jul</v>
      </c>
    </row>
    <row r="573" spans="1:16" x14ac:dyDescent="0.25">
      <c r="A573" t="s">
        <v>801</v>
      </c>
      <c r="B573" s="2">
        <v>45948</v>
      </c>
      <c r="C573" t="s">
        <v>144</v>
      </c>
      <c r="D573" t="s">
        <v>11</v>
      </c>
      <c r="E573" t="s">
        <v>12</v>
      </c>
      <c r="F573" t="s">
        <v>55</v>
      </c>
      <c r="G573">
        <v>6</v>
      </c>
      <c r="H573">
        <v>8000</v>
      </c>
      <c r="I573">
        <v>0.05</v>
      </c>
      <c r="J573" t="str">
        <f>_xlfn.XLOOKUP(tblOrders[[#This Row],[ProductID]],Products!$A$2:$A$9,Products!$B$2:$B$9,"Unknown")</f>
        <v>Printer</v>
      </c>
      <c r="K573" t="str">
        <f>_xlfn.XLOOKUP(tblOrders[[#This Row],[ProductID]],Products!$A$2:$A$9,Products!$C$2:$C$9,"Unknown")</f>
        <v>Electronics</v>
      </c>
      <c r="L573">
        <f>_xlfn.XLOOKUP(tblOrders[[#This Row],[ProductID]],Products!$A$2:$A$9,Products!$D$2:$D$9,0)</f>
        <v>6200</v>
      </c>
      <c r="M573">
        <f>tblOrders[[#This Row],[Quantity]]*tblOrders[[#This Row],[UnitPrice]]*(1-tblOrders[[#This Row],[Discount]])</f>
        <v>45600</v>
      </c>
      <c r="N573">
        <f>tblOrders[[#This Row],[Quantity]]*tblOrders[[#This Row],[UnitCost]]</f>
        <v>37200</v>
      </c>
      <c r="O573">
        <f>tblOrders[[#This Row],[Revenue]]-tblOrders[[#This Row],[Cost]]</f>
        <v>8400</v>
      </c>
      <c r="P573" t="str">
        <f>TEXT(tblOrders[[#This Row],[OrderDate]],"mmm")</f>
        <v>Oct</v>
      </c>
    </row>
    <row r="574" spans="1:16" x14ac:dyDescent="0.25">
      <c r="A574" t="s">
        <v>276</v>
      </c>
      <c r="B574" s="2">
        <v>45802</v>
      </c>
      <c r="C574" t="s">
        <v>107</v>
      </c>
      <c r="D574" t="s">
        <v>21</v>
      </c>
      <c r="E574" t="s">
        <v>22</v>
      </c>
      <c r="F574" t="s">
        <v>64</v>
      </c>
      <c r="G574">
        <v>12</v>
      </c>
      <c r="H574">
        <v>500</v>
      </c>
      <c r="I574">
        <v>0</v>
      </c>
      <c r="J574" t="str">
        <f>_xlfn.XLOOKUP(tblOrders[[#This Row],[ProductID]],Products!$A$2:$A$9,Products!$B$2:$B$9,"Unknown")</f>
        <v>Mouse</v>
      </c>
      <c r="K574" t="str">
        <f>_xlfn.XLOOKUP(tblOrders[[#This Row],[ProductID]],Products!$A$2:$A$9,Products!$C$2:$C$9,"Unknown")</f>
        <v>Accessories</v>
      </c>
      <c r="L574">
        <f>_xlfn.XLOOKUP(tblOrders[[#This Row],[ProductID]],Products!$A$2:$A$9,Products!$D$2:$D$9,0)</f>
        <v>320</v>
      </c>
      <c r="M574">
        <f>tblOrders[[#This Row],[Quantity]]*tblOrders[[#This Row],[UnitPrice]]*(1-tblOrders[[#This Row],[Discount]])</f>
        <v>6000</v>
      </c>
      <c r="N574">
        <f>tblOrders[[#This Row],[Quantity]]*tblOrders[[#This Row],[UnitCost]]</f>
        <v>3840</v>
      </c>
      <c r="O574">
        <f>tblOrders[[#This Row],[Revenue]]-tblOrders[[#This Row],[Cost]]</f>
        <v>2160</v>
      </c>
      <c r="P574" t="str">
        <f>TEXT(tblOrders[[#This Row],[OrderDate]],"mmm")</f>
        <v>May</v>
      </c>
    </row>
    <row r="575" spans="1:16" x14ac:dyDescent="0.25">
      <c r="A575" t="s">
        <v>119</v>
      </c>
      <c r="B575" s="2">
        <v>45713</v>
      </c>
      <c r="C575" t="s">
        <v>73</v>
      </c>
      <c r="D575" t="s">
        <v>21</v>
      </c>
      <c r="E575" t="s">
        <v>22</v>
      </c>
      <c r="F575" t="s">
        <v>64</v>
      </c>
      <c r="G575">
        <v>8</v>
      </c>
      <c r="H575">
        <v>500</v>
      </c>
      <c r="I575">
        <v>0.05</v>
      </c>
      <c r="J575" t="str">
        <f>_xlfn.XLOOKUP(tblOrders[[#This Row],[ProductID]],Products!$A$2:$A$9,Products!$B$2:$B$9,"Unknown")</f>
        <v>Mouse</v>
      </c>
      <c r="K575" t="str">
        <f>_xlfn.XLOOKUP(tblOrders[[#This Row],[ProductID]],Products!$A$2:$A$9,Products!$C$2:$C$9,"Unknown")</f>
        <v>Accessories</v>
      </c>
      <c r="L575">
        <f>_xlfn.XLOOKUP(tblOrders[[#This Row],[ProductID]],Products!$A$2:$A$9,Products!$D$2:$D$9,0)</f>
        <v>320</v>
      </c>
      <c r="M575">
        <f>tblOrders[[#This Row],[Quantity]]*tblOrders[[#This Row],[UnitPrice]]*(1-tblOrders[[#This Row],[Discount]])</f>
        <v>3800</v>
      </c>
      <c r="N575">
        <f>tblOrders[[#This Row],[Quantity]]*tblOrders[[#This Row],[UnitCost]]</f>
        <v>2560</v>
      </c>
      <c r="O575">
        <f>tblOrders[[#This Row],[Revenue]]-tblOrders[[#This Row],[Cost]]</f>
        <v>1240</v>
      </c>
      <c r="P575" t="str">
        <f>TEXT(tblOrders[[#This Row],[OrderDate]],"mmm")</f>
        <v>Feb</v>
      </c>
    </row>
    <row r="576" spans="1:16" x14ac:dyDescent="0.25">
      <c r="A576" t="s">
        <v>724</v>
      </c>
      <c r="B576" s="2">
        <v>45681</v>
      </c>
      <c r="C576" t="s">
        <v>171</v>
      </c>
      <c r="D576" t="s">
        <v>11</v>
      </c>
      <c r="E576" t="s">
        <v>46</v>
      </c>
      <c r="F576" t="s">
        <v>43</v>
      </c>
      <c r="G576">
        <v>8</v>
      </c>
      <c r="H576">
        <v>1500</v>
      </c>
      <c r="I576">
        <v>0</v>
      </c>
      <c r="J576" t="str">
        <f>_xlfn.XLOOKUP(tblOrders[[#This Row],[ProductID]],Products!$A$2:$A$9,Products!$B$2:$B$9,"Unknown")</f>
        <v>Webcam</v>
      </c>
      <c r="K576" t="str">
        <f>_xlfn.XLOOKUP(tblOrders[[#This Row],[ProductID]],Products!$A$2:$A$9,Products!$C$2:$C$9,"Unknown")</f>
        <v>Accessories</v>
      </c>
      <c r="L576">
        <f>_xlfn.XLOOKUP(tblOrders[[#This Row],[ProductID]],Products!$A$2:$A$9,Products!$D$2:$D$9,0)</f>
        <v>980</v>
      </c>
      <c r="M576">
        <f>tblOrders[[#This Row],[Quantity]]*tblOrders[[#This Row],[UnitPrice]]*(1-tblOrders[[#This Row],[Discount]])</f>
        <v>12000</v>
      </c>
      <c r="N576">
        <f>tblOrders[[#This Row],[Quantity]]*tblOrders[[#This Row],[UnitCost]]</f>
        <v>7840</v>
      </c>
      <c r="O576">
        <f>tblOrders[[#This Row],[Revenue]]-tblOrders[[#This Row],[Cost]]</f>
        <v>4160</v>
      </c>
      <c r="P576" t="str">
        <f>TEXT(tblOrders[[#This Row],[OrderDate]],"mmm")</f>
        <v>Jan</v>
      </c>
    </row>
    <row r="577" spans="1:16" x14ac:dyDescent="0.25">
      <c r="A577" t="s">
        <v>1004</v>
      </c>
      <c r="B577" s="2">
        <v>45764</v>
      </c>
      <c r="C577" t="s">
        <v>90</v>
      </c>
      <c r="D577" t="s">
        <v>21</v>
      </c>
      <c r="E577" t="s">
        <v>22</v>
      </c>
      <c r="F577" t="s">
        <v>13</v>
      </c>
      <c r="G577">
        <v>15</v>
      </c>
      <c r="H577">
        <v>2000</v>
      </c>
      <c r="I577">
        <v>0</v>
      </c>
      <c r="J577" t="str">
        <f>_xlfn.XLOOKUP(tblOrders[[#This Row],[ProductID]],Products!$A$2:$A$9,Products!$B$2:$B$9,"Unknown")</f>
        <v>Headset</v>
      </c>
      <c r="K577" t="str">
        <f>_xlfn.XLOOKUP(tblOrders[[#This Row],[ProductID]],Products!$A$2:$A$9,Products!$C$2:$C$9,"Unknown")</f>
        <v>Accessories</v>
      </c>
      <c r="L577">
        <f>_xlfn.XLOOKUP(tblOrders[[#This Row],[ProductID]],Products!$A$2:$A$9,Products!$D$2:$D$9,0)</f>
        <v>1300</v>
      </c>
      <c r="M577">
        <f>tblOrders[[#This Row],[Quantity]]*tblOrders[[#This Row],[UnitPrice]]*(1-tblOrders[[#This Row],[Discount]])</f>
        <v>30000</v>
      </c>
      <c r="N577">
        <f>tblOrders[[#This Row],[Quantity]]*tblOrders[[#This Row],[UnitCost]]</f>
        <v>19500</v>
      </c>
      <c r="O577">
        <f>tblOrders[[#This Row],[Revenue]]-tblOrders[[#This Row],[Cost]]</f>
        <v>10500</v>
      </c>
      <c r="P577" t="str">
        <f>TEXT(tblOrders[[#This Row],[OrderDate]],"mmm")</f>
        <v>Apr</v>
      </c>
    </row>
    <row r="578" spans="1:16" x14ac:dyDescent="0.25">
      <c r="A578" t="s">
        <v>537</v>
      </c>
      <c r="B578" s="2">
        <v>45822</v>
      </c>
      <c r="C578" t="s">
        <v>57</v>
      </c>
      <c r="D578" t="s">
        <v>21</v>
      </c>
      <c r="E578" t="s">
        <v>22</v>
      </c>
      <c r="F578" t="s">
        <v>13</v>
      </c>
      <c r="G578">
        <v>15</v>
      </c>
      <c r="H578">
        <v>2000</v>
      </c>
      <c r="I578">
        <v>0</v>
      </c>
      <c r="J578" t="str">
        <f>_xlfn.XLOOKUP(tblOrders[[#This Row],[ProductID]],Products!$A$2:$A$9,Products!$B$2:$B$9,"Unknown")</f>
        <v>Headset</v>
      </c>
      <c r="K578" t="str">
        <f>_xlfn.XLOOKUP(tblOrders[[#This Row],[ProductID]],Products!$A$2:$A$9,Products!$C$2:$C$9,"Unknown")</f>
        <v>Accessories</v>
      </c>
      <c r="L578">
        <f>_xlfn.XLOOKUP(tblOrders[[#This Row],[ProductID]],Products!$A$2:$A$9,Products!$D$2:$D$9,0)</f>
        <v>1300</v>
      </c>
      <c r="M578">
        <f>tblOrders[[#This Row],[Quantity]]*tblOrders[[#This Row],[UnitPrice]]*(1-tblOrders[[#This Row],[Discount]])</f>
        <v>30000</v>
      </c>
      <c r="N578">
        <f>tblOrders[[#This Row],[Quantity]]*tblOrders[[#This Row],[UnitCost]]</f>
        <v>19500</v>
      </c>
      <c r="O578">
        <f>tblOrders[[#This Row],[Revenue]]-tblOrders[[#This Row],[Cost]]</f>
        <v>10500</v>
      </c>
      <c r="P578" t="str">
        <f>TEXT(tblOrders[[#This Row],[OrderDate]],"mmm")</f>
        <v>Jun</v>
      </c>
    </row>
    <row r="579" spans="1:16" x14ac:dyDescent="0.25">
      <c r="A579" t="s">
        <v>613</v>
      </c>
      <c r="B579" s="2">
        <v>45729</v>
      </c>
      <c r="C579" t="s">
        <v>195</v>
      </c>
      <c r="D579" t="s">
        <v>16</v>
      </c>
      <c r="E579" t="s">
        <v>33</v>
      </c>
      <c r="F579" t="s">
        <v>55</v>
      </c>
      <c r="G579">
        <v>3</v>
      </c>
      <c r="H579">
        <v>8000</v>
      </c>
      <c r="I579">
        <v>0.1</v>
      </c>
      <c r="J579" t="str">
        <f>_xlfn.XLOOKUP(tblOrders[[#This Row],[ProductID]],Products!$A$2:$A$9,Products!$B$2:$B$9,"Unknown")</f>
        <v>Printer</v>
      </c>
      <c r="K579" t="str">
        <f>_xlfn.XLOOKUP(tblOrders[[#This Row],[ProductID]],Products!$A$2:$A$9,Products!$C$2:$C$9,"Unknown")</f>
        <v>Electronics</v>
      </c>
      <c r="L579">
        <f>_xlfn.XLOOKUP(tblOrders[[#This Row],[ProductID]],Products!$A$2:$A$9,Products!$D$2:$D$9,0)</f>
        <v>6200</v>
      </c>
      <c r="M579">
        <f>tblOrders[[#This Row],[Quantity]]*tblOrders[[#This Row],[UnitPrice]]*(1-tblOrders[[#This Row],[Discount]])</f>
        <v>21600</v>
      </c>
      <c r="N579">
        <f>tblOrders[[#This Row],[Quantity]]*tblOrders[[#This Row],[UnitCost]]</f>
        <v>18600</v>
      </c>
      <c r="O579">
        <f>tblOrders[[#This Row],[Revenue]]-tblOrders[[#This Row],[Cost]]</f>
        <v>3000</v>
      </c>
      <c r="P579" t="str">
        <f>TEXT(tblOrders[[#This Row],[OrderDate]],"mmm")</f>
        <v>Mar</v>
      </c>
    </row>
    <row r="580" spans="1:16" x14ac:dyDescent="0.25">
      <c r="A580" t="s">
        <v>967</v>
      </c>
      <c r="B580" s="2">
        <v>45744</v>
      </c>
      <c r="C580" t="s">
        <v>160</v>
      </c>
      <c r="D580" t="s">
        <v>16</v>
      </c>
      <c r="E580" t="s">
        <v>17</v>
      </c>
      <c r="F580" t="s">
        <v>55</v>
      </c>
      <c r="G580">
        <v>6</v>
      </c>
      <c r="H580">
        <v>8000</v>
      </c>
      <c r="I580">
        <v>0.15</v>
      </c>
      <c r="J580" t="str">
        <f>_xlfn.XLOOKUP(tblOrders[[#This Row],[ProductID]],Products!$A$2:$A$9,Products!$B$2:$B$9,"Unknown")</f>
        <v>Printer</v>
      </c>
      <c r="K580" t="str">
        <f>_xlfn.XLOOKUP(tblOrders[[#This Row],[ProductID]],Products!$A$2:$A$9,Products!$C$2:$C$9,"Unknown")</f>
        <v>Electronics</v>
      </c>
      <c r="L580">
        <f>_xlfn.XLOOKUP(tblOrders[[#This Row],[ProductID]],Products!$A$2:$A$9,Products!$D$2:$D$9,0)</f>
        <v>6200</v>
      </c>
      <c r="M580">
        <f>tblOrders[[#This Row],[Quantity]]*tblOrders[[#This Row],[UnitPrice]]*(1-tblOrders[[#This Row],[Discount]])</f>
        <v>40800</v>
      </c>
      <c r="N580">
        <f>tblOrders[[#This Row],[Quantity]]*tblOrders[[#This Row],[UnitCost]]</f>
        <v>37200</v>
      </c>
      <c r="O580">
        <f>tblOrders[[#This Row],[Revenue]]-tblOrders[[#This Row],[Cost]]</f>
        <v>3600</v>
      </c>
      <c r="P580" t="str">
        <f>TEXT(tblOrders[[#This Row],[OrderDate]],"mmm")</f>
        <v>Mar</v>
      </c>
    </row>
    <row r="581" spans="1:16" x14ac:dyDescent="0.25">
      <c r="A581" t="s">
        <v>1052</v>
      </c>
      <c r="B581" s="2">
        <v>45895</v>
      </c>
      <c r="C581" t="s">
        <v>333</v>
      </c>
      <c r="D581" t="s">
        <v>21</v>
      </c>
      <c r="E581" t="s">
        <v>22</v>
      </c>
      <c r="F581" t="s">
        <v>18</v>
      </c>
      <c r="G581">
        <v>9</v>
      </c>
      <c r="H581">
        <v>18000</v>
      </c>
      <c r="I581">
        <v>0</v>
      </c>
      <c r="J581" t="str">
        <f>_xlfn.XLOOKUP(tblOrders[[#This Row],[ProductID]],Products!$A$2:$A$9,Products!$B$2:$B$9,"Unknown")</f>
        <v>Tablet</v>
      </c>
      <c r="K581" t="str">
        <f>_xlfn.XLOOKUP(tblOrders[[#This Row],[ProductID]],Products!$A$2:$A$9,Products!$C$2:$C$9,"Unknown")</f>
        <v>Electronics</v>
      </c>
      <c r="L581">
        <f>_xlfn.XLOOKUP(tblOrders[[#This Row],[ProductID]],Products!$A$2:$A$9,Products!$D$2:$D$9,0)</f>
        <v>13500</v>
      </c>
      <c r="M581">
        <f>tblOrders[[#This Row],[Quantity]]*tblOrders[[#This Row],[UnitPrice]]*(1-tblOrders[[#This Row],[Discount]])</f>
        <v>162000</v>
      </c>
      <c r="N581">
        <f>tblOrders[[#This Row],[Quantity]]*tblOrders[[#This Row],[UnitCost]]</f>
        <v>121500</v>
      </c>
      <c r="O581">
        <f>tblOrders[[#This Row],[Revenue]]-tblOrders[[#This Row],[Cost]]</f>
        <v>40500</v>
      </c>
      <c r="P581" t="str">
        <f>TEXT(tblOrders[[#This Row],[OrderDate]],"mmm")</f>
        <v>Aug</v>
      </c>
    </row>
    <row r="582" spans="1:16" x14ac:dyDescent="0.25">
      <c r="A582" t="s">
        <v>552</v>
      </c>
      <c r="B582" s="2">
        <v>45782</v>
      </c>
      <c r="C582" t="s">
        <v>50</v>
      </c>
      <c r="D582" t="s">
        <v>39</v>
      </c>
      <c r="E582" t="s">
        <v>76</v>
      </c>
      <c r="F582" t="s">
        <v>43</v>
      </c>
      <c r="G582">
        <v>14</v>
      </c>
      <c r="H582">
        <v>1500</v>
      </c>
      <c r="I582">
        <v>0.15</v>
      </c>
      <c r="J582" t="str">
        <f>_xlfn.XLOOKUP(tblOrders[[#This Row],[ProductID]],Products!$A$2:$A$9,Products!$B$2:$B$9,"Unknown")</f>
        <v>Webcam</v>
      </c>
      <c r="K582" t="str">
        <f>_xlfn.XLOOKUP(tblOrders[[#This Row],[ProductID]],Products!$A$2:$A$9,Products!$C$2:$C$9,"Unknown")</f>
        <v>Accessories</v>
      </c>
      <c r="L582">
        <f>_xlfn.XLOOKUP(tblOrders[[#This Row],[ProductID]],Products!$A$2:$A$9,Products!$D$2:$D$9,0)</f>
        <v>980</v>
      </c>
      <c r="M582">
        <f>tblOrders[[#This Row],[Quantity]]*tblOrders[[#This Row],[UnitPrice]]*(1-tblOrders[[#This Row],[Discount]])</f>
        <v>17850</v>
      </c>
      <c r="N582">
        <f>tblOrders[[#This Row],[Quantity]]*tblOrders[[#This Row],[UnitCost]]</f>
        <v>13720</v>
      </c>
      <c r="O582">
        <f>tblOrders[[#This Row],[Revenue]]-tblOrders[[#This Row],[Cost]]</f>
        <v>4130</v>
      </c>
      <c r="P582" t="str">
        <f>TEXT(tblOrders[[#This Row],[OrderDate]],"mmm")</f>
        <v>May</v>
      </c>
    </row>
    <row r="583" spans="1:16" x14ac:dyDescent="0.25">
      <c r="A583" t="s">
        <v>968</v>
      </c>
      <c r="B583" s="2">
        <v>45759</v>
      </c>
      <c r="C583" t="s">
        <v>113</v>
      </c>
      <c r="D583" t="s">
        <v>16</v>
      </c>
      <c r="E583" t="s">
        <v>17</v>
      </c>
      <c r="F583" t="s">
        <v>18</v>
      </c>
      <c r="G583">
        <v>3</v>
      </c>
      <c r="H583">
        <v>18000</v>
      </c>
      <c r="I583">
        <v>0</v>
      </c>
      <c r="J583" t="str">
        <f>_xlfn.XLOOKUP(tblOrders[[#This Row],[ProductID]],Products!$A$2:$A$9,Products!$B$2:$B$9,"Unknown")</f>
        <v>Tablet</v>
      </c>
      <c r="K583" t="str">
        <f>_xlfn.XLOOKUP(tblOrders[[#This Row],[ProductID]],Products!$A$2:$A$9,Products!$C$2:$C$9,"Unknown")</f>
        <v>Electronics</v>
      </c>
      <c r="L583">
        <f>_xlfn.XLOOKUP(tblOrders[[#This Row],[ProductID]],Products!$A$2:$A$9,Products!$D$2:$D$9,0)</f>
        <v>13500</v>
      </c>
      <c r="M583">
        <f>tblOrders[[#This Row],[Quantity]]*tblOrders[[#This Row],[UnitPrice]]*(1-tblOrders[[#This Row],[Discount]])</f>
        <v>54000</v>
      </c>
      <c r="N583">
        <f>tblOrders[[#This Row],[Quantity]]*tblOrders[[#This Row],[UnitCost]]</f>
        <v>40500</v>
      </c>
      <c r="O583">
        <f>tblOrders[[#This Row],[Revenue]]-tblOrders[[#This Row],[Cost]]</f>
        <v>13500</v>
      </c>
      <c r="P583" t="str">
        <f>TEXT(tblOrders[[#This Row],[OrderDate]],"mmm")</f>
        <v>Apr</v>
      </c>
    </row>
    <row r="584" spans="1:16" x14ac:dyDescent="0.25">
      <c r="A584" t="s">
        <v>614</v>
      </c>
      <c r="B584" s="2">
        <v>45723</v>
      </c>
      <c r="C584" t="s">
        <v>52</v>
      </c>
      <c r="D584" t="s">
        <v>21</v>
      </c>
      <c r="E584" t="s">
        <v>28</v>
      </c>
      <c r="F584" t="s">
        <v>13</v>
      </c>
      <c r="G584">
        <v>7</v>
      </c>
      <c r="H584">
        <v>2000</v>
      </c>
      <c r="I584">
        <v>0</v>
      </c>
      <c r="J584" t="str">
        <f>_xlfn.XLOOKUP(tblOrders[[#This Row],[ProductID]],Products!$A$2:$A$9,Products!$B$2:$B$9,"Unknown")</f>
        <v>Headset</v>
      </c>
      <c r="K584" t="str">
        <f>_xlfn.XLOOKUP(tblOrders[[#This Row],[ProductID]],Products!$A$2:$A$9,Products!$C$2:$C$9,"Unknown")</f>
        <v>Accessories</v>
      </c>
      <c r="L584">
        <f>_xlfn.XLOOKUP(tblOrders[[#This Row],[ProductID]],Products!$A$2:$A$9,Products!$D$2:$D$9,0)</f>
        <v>1300</v>
      </c>
      <c r="M584">
        <f>tblOrders[[#This Row],[Quantity]]*tblOrders[[#This Row],[UnitPrice]]*(1-tblOrders[[#This Row],[Discount]])</f>
        <v>14000</v>
      </c>
      <c r="N584">
        <f>tblOrders[[#This Row],[Quantity]]*tblOrders[[#This Row],[UnitCost]]</f>
        <v>9100</v>
      </c>
      <c r="O584">
        <f>tblOrders[[#This Row],[Revenue]]-tblOrders[[#This Row],[Cost]]</f>
        <v>4900</v>
      </c>
      <c r="P584" t="str">
        <f>TEXT(tblOrders[[#This Row],[OrderDate]],"mmm")</f>
        <v>Mar</v>
      </c>
    </row>
    <row r="585" spans="1:16" x14ac:dyDescent="0.25">
      <c r="A585" t="s">
        <v>1012</v>
      </c>
      <c r="B585" s="2">
        <v>45868</v>
      </c>
      <c r="C585" t="s">
        <v>117</v>
      </c>
      <c r="D585" t="s">
        <v>16</v>
      </c>
      <c r="E585" t="s">
        <v>33</v>
      </c>
      <c r="F585" t="s">
        <v>18</v>
      </c>
      <c r="G585">
        <v>11</v>
      </c>
      <c r="H585">
        <v>18000</v>
      </c>
      <c r="I585">
        <v>0</v>
      </c>
      <c r="J585" t="str">
        <f>_xlfn.XLOOKUP(tblOrders[[#This Row],[ProductID]],Products!$A$2:$A$9,Products!$B$2:$B$9,"Unknown")</f>
        <v>Tablet</v>
      </c>
      <c r="K585" t="str">
        <f>_xlfn.XLOOKUP(tblOrders[[#This Row],[ProductID]],Products!$A$2:$A$9,Products!$C$2:$C$9,"Unknown")</f>
        <v>Electronics</v>
      </c>
      <c r="L585">
        <f>_xlfn.XLOOKUP(tblOrders[[#This Row],[ProductID]],Products!$A$2:$A$9,Products!$D$2:$D$9,0)</f>
        <v>13500</v>
      </c>
      <c r="M585">
        <f>tblOrders[[#This Row],[Quantity]]*tblOrders[[#This Row],[UnitPrice]]*(1-tblOrders[[#This Row],[Discount]])</f>
        <v>198000</v>
      </c>
      <c r="N585">
        <f>tblOrders[[#This Row],[Quantity]]*tblOrders[[#This Row],[UnitCost]]</f>
        <v>148500</v>
      </c>
      <c r="O585">
        <f>tblOrders[[#This Row],[Revenue]]-tblOrders[[#This Row],[Cost]]</f>
        <v>49500</v>
      </c>
      <c r="P585" t="str">
        <f>TEXT(tblOrders[[#This Row],[OrderDate]],"mmm")</f>
        <v>Jul</v>
      </c>
    </row>
    <row r="586" spans="1:16" x14ac:dyDescent="0.25">
      <c r="A586" t="s">
        <v>712</v>
      </c>
      <c r="B586" s="2">
        <v>45838</v>
      </c>
      <c r="C586" t="s">
        <v>175</v>
      </c>
      <c r="D586" t="s">
        <v>16</v>
      </c>
      <c r="E586" t="s">
        <v>17</v>
      </c>
      <c r="F586" t="s">
        <v>69</v>
      </c>
      <c r="G586">
        <v>14</v>
      </c>
      <c r="H586">
        <v>12000</v>
      </c>
      <c r="I586">
        <v>0</v>
      </c>
      <c r="J586" t="str">
        <f>_xlfn.XLOOKUP(tblOrders[[#This Row],[ProductID]],Products!$A$2:$A$9,Products!$B$2:$B$9,"Unknown")</f>
        <v>Monitor</v>
      </c>
      <c r="K586" t="str">
        <f>_xlfn.XLOOKUP(tblOrders[[#This Row],[ProductID]],Products!$A$2:$A$9,Products!$C$2:$C$9,"Unknown")</f>
        <v>Electronics</v>
      </c>
      <c r="L586">
        <f>_xlfn.XLOOKUP(tblOrders[[#This Row],[ProductID]],Products!$A$2:$A$9,Products!$D$2:$D$9,0)</f>
        <v>9000</v>
      </c>
      <c r="M586">
        <f>tblOrders[[#This Row],[Quantity]]*tblOrders[[#This Row],[UnitPrice]]*(1-tblOrders[[#This Row],[Discount]])</f>
        <v>168000</v>
      </c>
      <c r="N586">
        <f>tblOrders[[#This Row],[Quantity]]*tblOrders[[#This Row],[UnitCost]]</f>
        <v>126000</v>
      </c>
      <c r="O586">
        <f>tblOrders[[#This Row],[Revenue]]-tblOrders[[#This Row],[Cost]]</f>
        <v>42000</v>
      </c>
      <c r="P586" t="str">
        <f>TEXT(tblOrders[[#This Row],[OrderDate]],"mmm")</f>
        <v>Jun</v>
      </c>
    </row>
    <row r="587" spans="1:16" x14ac:dyDescent="0.25">
      <c r="A587" t="s">
        <v>269</v>
      </c>
      <c r="B587" s="2">
        <v>45786</v>
      </c>
      <c r="C587" t="s">
        <v>63</v>
      </c>
      <c r="D587" t="s">
        <v>39</v>
      </c>
      <c r="E587" t="s">
        <v>40</v>
      </c>
      <c r="F587" t="s">
        <v>64</v>
      </c>
      <c r="G587">
        <v>10</v>
      </c>
      <c r="H587">
        <v>500</v>
      </c>
      <c r="I587">
        <v>0</v>
      </c>
      <c r="J587" t="str">
        <f>_xlfn.XLOOKUP(tblOrders[[#This Row],[ProductID]],Products!$A$2:$A$9,Products!$B$2:$B$9,"Unknown")</f>
        <v>Mouse</v>
      </c>
      <c r="K587" t="str">
        <f>_xlfn.XLOOKUP(tblOrders[[#This Row],[ProductID]],Products!$A$2:$A$9,Products!$C$2:$C$9,"Unknown")</f>
        <v>Accessories</v>
      </c>
      <c r="L587">
        <f>_xlfn.XLOOKUP(tblOrders[[#This Row],[ProductID]],Products!$A$2:$A$9,Products!$D$2:$D$9,0)</f>
        <v>320</v>
      </c>
      <c r="M587">
        <f>tblOrders[[#This Row],[Quantity]]*tblOrders[[#This Row],[UnitPrice]]*(1-tblOrders[[#This Row],[Discount]])</f>
        <v>5000</v>
      </c>
      <c r="N587">
        <f>tblOrders[[#This Row],[Quantity]]*tblOrders[[#This Row],[UnitCost]]</f>
        <v>3200</v>
      </c>
      <c r="O587">
        <f>tblOrders[[#This Row],[Revenue]]-tblOrders[[#This Row],[Cost]]</f>
        <v>1800</v>
      </c>
      <c r="P587" t="str">
        <f>TEXT(tblOrders[[#This Row],[OrderDate]],"mmm")</f>
        <v>May</v>
      </c>
    </row>
    <row r="588" spans="1:16" x14ac:dyDescent="0.25">
      <c r="A588" t="s">
        <v>101</v>
      </c>
      <c r="B588" s="2">
        <v>45812</v>
      </c>
      <c r="C588" t="s">
        <v>54</v>
      </c>
      <c r="D588" t="s">
        <v>39</v>
      </c>
      <c r="E588" t="s">
        <v>40</v>
      </c>
      <c r="F588" t="s">
        <v>18</v>
      </c>
      <c r="G588">
        <v>12</v>
      </c>
      <c r="H588">
        <v>18000</v>
      </c>
      <c r="I588">
        <v>0</v>
      </c>
      <c r="J588" t="str">
        <f>_xlfn.XLOOKUP(tblOrders[[#This Row],[ProductID]],Products!$A$2:$A$9,Products!$B$2:$B$9,"Unknown")</f>
        <v>Tablet</v>
      </c>
      <c r="K588" t="str">
        <f>_xlfn.XLOOKUP(tblOrders[[#This Row],[ProductID]],Products!$A$2:$A$9,Products!$C$2:$C$9,"Unknown")</f>
        <v>Electronics</v>
      </c>
      <c r="L588">
        <f>_xlfn.XLOOKUP(tblOrders[[#This Row],[ProductID]],Products!$A$2:$A$9,Products!$D$2:$D$9,0)</f>
        <v>13500</v>
      </c>
      <c r="M588">
        <f>tblOrders[[#This Row],[Quantity]]*tblOrders[[#This Row],[UnitPrice]]*(1-tblOrders[[#This Row],[Discount]])</f>
        <v>216000</v>
      </c>
      <c r="N588">
        <f>tblOrders[[#This Row],[Quantity]]*tblOrders[[#This Row],[UnitCost]]</f>
        <v>162000</v>
      </c>
      <c r="O588">
        <f>tblOrders[[#This Row],[Revenue]]-tblOrders[[#This Row],[Cost]]</f>
        <v>54000</v>
      </c>
      <c r="P588" t="str">
        <f>TEXT(tblOrders[[#This Row],[OrderDate]],"mmm")</f>
        <v>Jun</v>
      </c>
    </row>
    <row r="589" spans="1:16" x14ac:dyDescent="0.25">
      <c r="A589" t="s">
        <v>398</v>
      </c>
      <c r="B589" s="2">
        <v>45931</v>
      </c>
      <c r="C589" t="s">
        <v>30</v>
      </c>
      <c r="D589" t="s">
        <v>16</v>
      </c>
      <c r="E589" t="s">
        <v>17</v>
      </c>
      <c r="F589" t="s">
        <v>43</v>
      </c>
      <c r="G589">
        <v>4</v>
      </c>
      <c r="H589">
        <v>1500</v>
      </c>
      <c r="I589">
        <v>0</v>
      </c>
      <c r="J589" t="str">
        <f>_xlfn.XLOOKUP(tblOrders[[#This Row],[ProductID]],Products!$A$2:$A$9,Products!$B$2:$B$9,"Unknown")</f>
        <v>Webcam</v>
      </c>
      <c r="K589" t="str">
        <f>_xlfn.XLOOKUP(tblOrders[[#This Row],[ProductID]],Products!$A$2:$A$9,Products!$C$2:$C$9,"Unknown")</f>
        <v>Accessories</v>
      </c>
      <c r="L589">
        <f>_xlfn.XLOOKUP(tblOrders[[#This Row],[ProductID]],Products!$A$2:$A$9,Products!$D$2:$D$9,0)</f>
        <v>980</v>
      </c>
      <c r="M589">
        <f>tblOrders[[#This Row],[Quantity]]*tblOrders[[#This Row],[UnitPrice]]*(1-tblOrders[[#This Row],[Discount]])</f>
        <v>6000</v>
      </c>
      <c r="N589">
        <f>tblOrders[[#This Row],[Quantity]]*tblOrders[[#This Row],[UnitCost]]</f>
        <v>3920</v>
      </c>
      <c r="O589">
        <f>tblOrders[[#This Row],[Revenue]]-tblOrders[[#This Row],[Cost]]</f>
        <v>2080</v>
      </c>
      <c r="P589" t="str">
        <f>TEXT(tblOrders[[#This Row],[OrderDate]],"mmm")</f>
        <v>Oct</v>
      </c>
    </row>
    <row r="590" spans="1:16" x14ac:dyDescent="0.25">
      <c r="A590" t="s">
        <v>125</v>
      </c>
      <c r="B590" s="2">
        <v>45838</v>
      </c>
      <c r="C590" t="s">
        <v>80</v>
      </c>
      <c r="D590" t="s">
        <v>39</v>
      </c>
      <c r="E590" t="s">
        <v>76</v>
      </c>
      <c r="F590" t="s">
        <v>55</v>
      </c>
      <c r="G590">
        <v>13</v>
      </c>
      <c r="H590">
        <v>8000</v>
      </c>
      <c r="I590">
        <v>0</v>
      </c>
      <c r="J590" t="str">
        <f>_xlfn.XLOOKUP(tblOrders[[#This Row],[ProductID]],Products!$A$2:$A$9,Products!$B$2:$B$9,"Unknown")</f>
        <v>Printer</v>
      </c>
      <c r="K590" t="str">
        <f>_xlfn.XLOOKUP(tblOrders[[#This Row],[ProductID]],Products!$A$2:$A$9,Products!$C$2:$C$9,"Unknown")</f>
        <v>Electronics</v>
      </c>
      <c r="L590">
        <f>_xlfn.XLOOKUP(tblOrders[[#This Row],[ProductID]],Products!$A$2:$A$9,Products!$D$2:$D$9,0)</f>
        <v>6200</v>
      </c>
      <c r="M590">
        <f>tblOrders[[#This Row],[Quantity]]*tblOrders[[#This Row],[UnitPrice]]*(1-tblOrders[[#This Row],[Discount]])</f>
        <v>104000</v>
      </c>
      <c r="N590">
        <f>tblOrders[[#This Row],[Quantity]]*tblOrders[[#This Row],[UnitCost]]</f>
        <v>80600</v>
      </c>
      <c r="O590">
        <f>tblOrders[[#This Row],[Revenue]]-tblOrders[[#This Row],[Cost]]</f>
        <v>23400</v>
      </c>
      <c r="P590" t="str">
        <f>TEXT(tblOrders[[#This Row],[OrderDate]],"mmm")</f>
        <v>Jun</v>
      </c>
    </row>
    <row r="591" spans="1:16" x14ac:dyDescent="0.25">
      <c r="A591" t="s">
        <v>604</v>
      </c>
      <c r="B591" s="2">
        <v>45800</v>
      </c>
      <c r="C591" t="s">
        <v>54</v>
      </c>
      <c r="D591" t="s">
        <v>16</v>
      </c>
      <c r="E591" t="s">
        <v>33</v>
      </c>
      <c r="F591" t="s">
        <v>43</v>
      </c>
      <c r="G591">
        <v>1</v>
      </c>
      <c r="H591">
        <v>1500</v>
      </c>
      <c r="I591">
        <v>0</v>
      </c>
      <c r="J591" t="str">
        <f>_xlfn.XLOOKUP(tblOrders[[#This Row],[ProductID]],Products!$A$2:$A$9,Products!$B$2:$B$9,"Unknown")</f>
        <v>Webcam</v>
      </c>
      <c r="K591" t="str">
        <f>_xlfn.XLOOKUP(tblOrders[[#This Row],[ProductID]],Products!$A$2:$A$9,Products!$C$2:$C$9,"Unknown")</f>
        <v>Accessories</v>
      </c>
      <c r="L591">
        <f>_xlfn.XLOOKUP(tblOrders[[#This Row],[ProductID]],Products!$A$2:$A$9,Products!$D$2:$D$9,0)</f>
        <v>980</v>
      </c>
      <c r="M591">
        <f>tblOrders[[#This Row],[Quantity]]*tblOrders[[#This Row],[UnitPrice]]*(1-tblOrders[[#This Row],[Discount]])</f>
        <v>1500</v>
      </c>
      <c r="N591">
        <f>tblOrders[[#This Row],[Quantity]]*tblOrders[[#This Row],[UnitCost]]</f>
        <v>980</v>
      </c>
      <c r="O591">
        <f>tblOrders[[#This Row],[Revenue]]-tblOrders[[#This Row],[Cost]]</f>
        <v>520</v>
      </c>
      <c r="P591" t="str">
        <f>TEXT(tblOrders[[#This Row],[OrderDate]],"mmm")</f>
        <v>May</v>
      </c>
    </row>
    <row r="592" spans="1:16" x14ac:dyDescent="0.25">
      <c r="A592" t="s">
        <v>949</v>
      </c>
      <c r="B592" s="2">
        <v>45912</v>
      </c>
      <c r="C592" t="s">
        <v>130</v>
      </c>
      <c r="D592" t="s">
        <v>11</v>
      </c>
      <c r="E592" t="s">
        <v>12</v>
      </c>
      <c r="F592" t="s">
        <v>34</v>
      </c>
      <c r="G592">
        <v>2</v>
      </c>
      <c r="H592">
        <v>55000</v>
      </c>
      <c r="I592">
        <v>0.05</v>
      </c>
      <c r="J592" t="str">
        <f>_xlfn.XLOOKUP(tblOrders[[#This Row],[ProductID]],Products!$A$2:$A$9,Products!$B$2:$B$9,"Unknown")</f>
        <v>Laptop</v>
      </c>
      <c r="K592" t="str">
        <f>_xlfn.XLOOKUP(tblOrders[[#This Row],[ProductID]],Products!$A$2:$A$9,Products!$C$2:$C$9,"Unknown")</f>
        <v>Electronics</v>
      </c>
      <c r="L592">
        <f>_xlfn.XLOOKUP(tblOrders[[#This Row],[ProductID]],Products!$A$2:$A$9,Products!$D$2:$D$9,0)</f>
        <v>41000</v>
      </c>
      <c r="M592">
        <f>tblOrders[[#This Row],[Quantity]]*tblOrders[[#This Row],[UnitPrice]]*(1-tblOrders[[#This Row],[Discount]])</f>
        <v>104500</v>
      </c>
      <c r="N592">
        <f>tblOrders[[#This Row],[Quantity]]*tblOrders[[#This Row],[UnitCost]]</f>
        <v>82000</v>
      </c>
      <c r="O592">
        <f>tblOrders[[#This Row],[Revenue]]-tblOrders[[#This Row],[Cost]]</f>
        <v>22500</v>
      </c>
      <c r="P592" t="str">
        <f>TEXT(tblOrders[[#This Row],[OrderDate]],"mmm")</f>
        <v>Sep</v>
      </c>
    </row>
    <row r="593" spans="1:16" x14ac:dyDescent="0.25">
      <c r="A593" t="s">
        <v>930</v>
      </c>
      <c r="B593" s="2">
        <v>45966</v>
      </c>
      <c r="C593" t="s">
        <v>113</v>
      </c>
      <c r="D593" t="s">
        <v>21</v>
      </c>
      <c r="E593" t="s">
        <v>28</v>
      </c>
      <c r="F593" t="s">
        <v>55</v>
      </c>
      <c r="G593">
        <v>8</v>
      </c>
      <c r="H593">
        <v>8000</v>
      </c>
      <c r="I593">
        <v>0.05</v>
      </c>
      <c r="J593" t="str">
        <f>_xlfn.XLOOKUP(tblOrders[[#This Row],[ProductID]],Products!$A$2:$A$9,Products!$B$2:$B$9,"Unknown")</f>
        <v>Printer</v>
      </c>
      <c r="K593" t="str">
        <f>_xlfn.XLOOKUP(tblOrders[[#This Row],[ProductID]],Products!$A$2:$A$9,Products!$C$2:$C$9,"Unknown")</f>
        <v>Electronics</v>
      </c>
      <c r="L593">
        <f>_xlfn.XLOOKUP(tblOrders[[#This Row],[ProductID]],Products!$A$2:$A$9,Products!$D$2:$D$9,0)</f>
        <v>6200</v>
      </c>
      <c r="M593">
        <f>tblOrders[[#This Row],[Quantity]]*tblOrders[[#This Row],[UnitPrice]]*(1-tblOrders[[#This Row],[Discount]])</f>
        <v>60800</v>
      </c>
      <c r="N593">
        <f>tblOrders[[#This Row],[Quantity]]*tblOrders[[#This Row],[UnitCost]]</f>
        <v>49600</v>
      </c>
      <c r="O593">
        <f>tblOrders[[#This Row],[Revenue]]-tblOrders[[#This Row],[Cost]]</f>
        <v>11200</v>
      </c>
      <c r="P593" t="str">
        <f>TEXT(tblOrders[[#This Row],[OrderDate]],"mmm")</f>
        <v>Nov</v>
      </c>
    </row>
    <row r="594" spans="1:16" x14ac:dyDescent="0.25">
      <c r="A594" t="s">
        <v>859</v>
      </c>
      <c r="B594" s="2">
        <v>45821</v>
      </c>
      <c r="C594" t="s">
        <v>59</v>
      </c>
      <c r="D594" t="s">
        <v>16</v>
      </c>
      <c r="E594" t="s">
        <v>33</v>
      </c>
      <c r="F594" t="s">
        <v>34</v>
      </c>
      <c r="G594">
        <v>9</v>
      </c>
      <c r="H594">
        <v>55000</v>
      </c>
      <c r="I594">
        <v>0.05</v>
      </c>
      <c r="J594" t="str">
        <f>_xlfn.XLOOKUP(tblOrders[[#This Row],[ProductID]],Products!$A$2:$A$9,Products!$B$2:$B$9,"Unknown")</f>
        <v>Laptop</v>
      </c>
      <c r="K594" t="str">
        <f>_xlfn.XLOOKUP(tblOrders[[#This Row],[ProductID]],Products!$A$2:$A$9,Products!$C$2:$C$9,"Unknown")</f>
        <v>Electronics</v>
      </c>
      <c r="L594">
        <f>_xlfn.XLOOKUP(tblOrders[[#This Row],[ProductID]],Products!$A$2:$A$9,Products!$D$2:$D$9,0)</f>
        <v>41000</v>
      </c>
      <c r="M594">
        <f>tblOrders[[#This Row],[Quantity]]*tblOrders[[#This Row],[UnitPrice]]*(1-tblOrders[[#This Row],[Discount]])</f>
        <v>470250</v>
      </c>
      <c r="N594">
        <f>tblOrders[[#This Row],[Quantity]]*tblOrders[[#This Row],[UnitCost]]</f>
        <v>369000</v>
      </c>
      <c r="O594">
        <f>tblOrders[[#This Row],[Revenue]]-tblOrders[[#This Row],[Cost]]</f>
        <v>101250</v>
      </c>
      <c r="P594" t="str">
        <f>TEXT(tblOrders[[#This Row],[OrderDate]],"mmm")</f>
        <v>Jun</v>
      </c>
    </row>
    <row r="595" spans="1:16" x14ac:dyDescent="0.25">
      <c r="A595" t="s">
        <v>92</v>
      </c>
      <c r="B595" s="2">
        <v>45790</v>
      </c>
      <c r="C595" t="s">
        <v>71</v>
      </c>
      <c r="D595" t="s">
        <v>11</v>
      </c>
      <c r="E595" t="s">
        <v>12</v>
      </c>
      <c r="F595" t="s">
        <v>64</v>
      </c>
      <c r="G595">
        <v>10</v>
      </c>
      <c r="H595">
        <v>500</v>
      </c>
      <c r="I595">
        <v>0.15</v>
      </c>
      <c r="J595" t="str">
        <f>_xlfn.XLOOKUP(tblOrders[[#This Row],[ProductID]],Products!$A$2:$A$9,Products!$B$2:$B$9,"Unknown")</f>
        <v>Mouse</v>
      </c>
      <c r="K595" t="str">
        <f>_xlfn.XLOOKUP(tblOrders[[#This Row],[ProductID]],Products!$A$2:$A$9,Products!$C$2:$C$9,"Unknown")</f>
        <v>Accessories</v>
      </c>
      <c r="L595">
        <f>_xlfn.XLOOKUP(tblOrders[[#This Row],[ProductID]],Products!$A$2:$A$9,Products!$D$2:$D$9,0)</f>
        <v>320</v>
      </c>
      <c r="M595">
        <f>tblOrders[[#This Row],[Quantity]]*tblOrders[[#This Row],[UnitPrice]]*(1-tblOrders[[#This Row],[Discount]])</f>
        <v>4250</v>
      </c>
      <c r="N595">
        <f>tblOrders[[#This Row],[Quantity]]*tblOrders[[#This Row],[UnitCost]]</f>
        <v>3200</v>
      </c>
      <c r="O595">
        <f>tblOrders[[#This Row],[Revenue]]-tblOrders[[#This Row],[Cost]]</f>
        <v>1050</v>
      </c>
      <c r="P595" t="str">
        <f>TEXT(tblOrders[[#This Row],[OrderDate]],"mmm")</f>
        <v>May</v>
      </c>
    </row>
    <row r="596" spans="1:16" x14ac:dyDescent="0.25">
      <c r="A596" t="s">
        <v>516</v>
      </c>
      <c r="B596" s="2">
        <v>45722</v>
      </c>
      <c r="C596" t="s">
        <v>52</v>
      </c>
      <c r="D596" t="s">
        <v>16</v>
      </c>
      <c r="E596" t="s">
        <v>17</v>
      </c>
      <c r="F596" t="s">
        <v>18</v>
      </c>
      <c r="G596">
        <v>3</v>
      </c>
      <c r="H596">
        <v>18000</v>
      </c>
      <c r="I596">
        <v>0.1</v>
      </c>
      <c r="J596" t="str">
        <f>_xlfn.XLOOKUP(tblOrders[[#This Row],[ProductID]],Products!$A$2:$A$9,Products!$B$2:$B$9,"Unknown")</f>
        <v>Tablet</v>
      </c>
      <c r="K596" t="str">
        <f>_xlfn.XLOOKUP(tblOrders[[#This Row],[ProductID]],Products!$A$2:$A$9,Products!$C$2:$C$9,"Unknown")</f>
        <v>Electronics</v>
      </c>
      <c r="L596">
        <f>_xlfn.XLOOKUP(tblOrders[[#This Row],[ProductID]],Products!$A$2:$A$9,Products!$D$2:$D$9,0)</f>
        <v>13500</v>
      </c>
      <c r="M596">
        <f>tblOrders[[#This Row],[Quantity]]*tblOrders[[#This Row],[UnitPrice]]*(1-tblOrders[[#This Row],[Discount]])</f>
        <v>48600</v>
      </c>
      <c r="N596">
        <f>tblOrders[[#This Row],[Quantity]]*tblOrders[[#This Row],[UnitCost]]</f>
        <v>40500</v>
      </c>
      <c r="O596">
        <f>tblOrders[[#This Row],[Revenue]]-tblOrders[[#This Row],[Cost]]</f>
        <v>8100</v>
      </c>
      <c r="P596" t="str">
        <f>TEXT(tblOrders[[#This Row],[OrderDate]],"mmm")</f>
        <v>Mar</v>
      </c>
    </row>
    <row r="597" spans="1:16" x14ac:dyDescent="0.25">
      <c r="A597" t="s">
        <v>376</v>
      </c>
      <c r="B597" s="2">
        <v>45915</v>
      </c>
      <c r="C597" t="s">
        <v>132</v>
      </c>
      <c r="D597" t="s">
        <v>21</v>
      </c>
      <c r="E597" t="s">
        <v>28</v>
      </c>
      <c r="F597" t="s">
        <v>69</v>
      </c>
      <c r="G597">
        <v>7</v>
      </c>
      <c r="H597">
        <v>12000</v>
      </c>
      <c r="I597">
        <v>0.1</v>
      </c>
      <c r="J597" t="str">
        <f>_xlfn.XLOOKUP(tblOrders[[#This Row],[ProductID]],Products!$A$2:$A$9,Products!$B$2:$B$9,"Unknown")</f>
        <v>Monitor</v>
      </c>
      <c r="K597" t="str">
        <f>_xlfn.XLOOKUP(tblOrders[[#This Row],[ProductID]],Products!$A$2:$A$9,Products!$C$2:$C$9,"Unknown")</f>
        <v>Electronics</v>
      </c>
      <c r="L597">
        <f>_xlfn.XLOOKUP(tblOrders[[#This Row],[ProductID]],Products!$A$2:$A$9,Products!$D$2:$D$9,0)</f>
        <v>9000</v>
      </c>
      <c r="M597">
        <f>tblOrders[[#This Row],[Quantity]]*tblOrders[[#This Row],[UnitPrice]]*(1-tblOrders[[#This Row],[Discount]])</f>
        <v>75600</v>
      </c>
      <c r="N597">
        <f>tblOrders[[#This Row],[Quantity]]*tblOrders[[#This Row],[UnitCost]]</f>
        <v>63000</v>
      </c>
      <c r="O597">
        <f>tblOrders[[#This Row],[Revenue]]-tblOrders[[#This Row],[Cost]]</f>
        <v>12600</v>
      </c>
      <c r="P597" t="str">
        <f>TEXT(tblOrders[[#This Row],[OrderDate]],"mmm")</f>
        <v>Sep</v>
      </c>
    </row>
    <row r="598" spans="1:16" x14ac:dyDescent="0.25">
      <c r="A598" t="s">
        <v>940</v>
      </c>
      <c r="B598" s="2">
        <v>45820</v>
      </c>
      <c r="C598" t="s">
        <v>52</v>
      </c>
      <c r="D598" t="s">
        <v>16</v>
      </c>
      <c r="E598" t="s">
        <v>17</v>
      </c>
      <c r="F598" t="s">
        <v>23</v>
      </c>
      <c r="G598">
        <v>2</v>
      </c>
      <c r="H598">
        <v>900</v>
      </c>
      <c r="I598">
        <v>0.05</v>
      </c>
      <c r="J598" t="str">
        <f>_xlfn.XLOOKUP(tblOrders[[#This Row],[ProductID]],Products!$A$2:$A$9,Products!$B$2:$B$9,"Unknown")</f>
        <v>Keyboard</v>
      </c>
      <c r="K598" t="str">
        <f>_xlfn.XLOOKUP(tblOrders[[#This Row],[ProductID]],Products!$A$2:$A$9,Products!$C$2:$C$9,"Unknown")</f>
        <v>Accessories</v>
      </c>
      <c r="L598">
        <f>_xlfn.XLOOKUP(tblOrders[[#This Row],[ProductID]],Products!$A$2:$A$9,Products!$D$2:$D$9,0)</f>
        <v>600</v>
      </c>
      <c r="M598">
        <f>tblOrders[[#This Row],[Quantity]]*tblOrders[[#This Row],[UnitPrice]]*(1-tblOrders[[#This Row],[Discount]])</f>
        <v>1710</v>
      </c>
      <c r="N598">
        <f>tblOrders[[#This Row],[Quantity]]*tblOrders[[#This Row],[UnitCost]]</f>
        <v>1200</v>
      </c>
      <c r="O598">
        <f>tblOrders[[#This Row],[Revenue]]-tblOrders[[#This Row],[Cost]]</f>
        <v>510</v>
      </c>
      <c r="P598" t="str">
        <f>TEXT(tblOrders[[#This Row],[OrderDate]],"mmm")</f>
        <v>Jun</v>
      </c>
    </row>
    <row r="599" spans="1:16" x14ac:dyDescent="0.25">
      <c r="A599" t="s">
        <v>755</v>
      </c>
      <c r="B599" s="2">
        <v>45900</v>
      </c>
      <c r="C599" t="s">
        <v>132</v>
      </c>
      <c r="D599" t="s">
        <v>11</v>
      </c>
      <c r="E599" t="s">
        <v>46</v>
      </c>
      <c r="F599" t="s">
        <v>64</v>
      </c>
      <c r="G599">
        <v>11</v>
      </c>
      <c r="H599">
        <v>500</v>
      </c>
      <c r="I599">
        <v>0</v>
      </c>
      <c r="J599" t="str">
        <f>_xlfn.XLOOKUP(tblOrders[[#This Row],[ProductID]],Products!$A$2:$A$9,Products!$B$2:$B$9,"Unknown")</f>
        <v>Mouse</v>
      </c>
      <c r="K599" t="str">
        <f>_xlfn.XLOOKUP(tblOrders[[#This Row],[ProductID]],Products!$A$2:$A$9,Products!$C$2:$C$9,"Unknown")</f>
        <v>Accessories</v>
      </c>
      <c r="L599">
        <f>_xlfn.XLOOKUP(tblOrders[[#This Row],[ProductID]],Products!$A$2:$A$9,Products!$D$2:$D$9,0)</f>
        <v>320</v>
      </c>
      <c r="M599">
        <f>tblOrders[[#This Row],[Quantity]]*tblOrders[[#This Row],[UnitPrice]]*(1-tblOrders[[#This Row],[Discount]])</f>
        <v>5500</v>
      </c>
      <c r="N599">
        <f>tblOrders[[#This Row],[Quantity]]*tblOrders[[#This Row],[UnitCost]]</f>
        <v>3520</v>
      </c>
      <c r="O599">
        <f>tblOrders[[#This Row],[Revenue]]-tblOrders[[#This Row],[Cost]]</f>
        <v>1980</v>
      </c>
      <c r="P599" t="str">
        <f>TEXT(tblOrders[[#This Row],[OrderDate]],"mmm")</f>
        <v>Aug</v>
      </c>
    </row>
    <row r="600" spans="1:16" x14ac:dyDescent="0.25">
      <c r="A600" t="s">
        <v>677</v>
      </c>
      <c r="B600" s="2">
        <v>45921</v>
      </c>
      <c r="C600" t="s">
        <v>149</v>
      </c>
      <c r="D600" t="s">
        <v>39</v>
      </c>
      <c r="E600" t="s">
        <v>40</v>
      </c>
      <c r="F600" t="s">
        <v>18</v>
      </c>
      <c r="G600">
        <v>14</v>
      </c>
      <c r="H600">
        <v>18000</v>
      </c>
      <c r="I600">
        <v>0</v>
      </c>
      <c r="J600" t="str">
        <f>_xlfn.XLOOKUP(tblOrders[[#This Row],[ProductID]],Products!$A$2:$A$9,Products!$B$2:$B$9,"Unknown")</f>
        <v>Tablet</v>
      </c>
      <c r="K600" t="str">
        <f>_xlfn.XLOOKUP(tblOrders[[#This Row],[ProductID]],Products!$A$2:$A$9,Products!$C$2:$C$9,"Unknown")</f>
        <v>Electronics</v>
      </c>
      <c r="L600">
        <f>_xlfn.XLOOKUP(tblOrders[[#This Row],[ProductID]],Products!$A$2:$A$9,Products!$D$2:$D$9,0)</f>
        <v>13500</v>
      </c>
      <c r="M600">
        <f>tblOrders[[#This Row],[Quantity]]*tblOrders[[#This Row],[UnitPrice]]*(1-tblOrders[[#This Row],[Discount]])</f>
        <v>252000</v>
      </c>
      <c r="N600">
        <f>tblOrders[[#This Row],[Quantity]]*tblOrders[[#This Row],[UnitCost]]</f>
        <v>189000</v>
      </c>
      <c r="O600">
        <f>tblOrders[[#This Row],[Revenue]]-tblOrders[[#This Row],[Cost]]</f>
        <v>63000</v>
      </c>
      <c r="P600" t="str">
        <f>TEXT(tblOrders[[#This Row],[OrderDate]],"mmm")</f>
        <v>Sep</v>
      </c>
    </row>
    <row r="601" spans="1:16" x14ac:dyDescent="0.25">
      <c r="A601" t="s">
        <v>861</v>
      </c>
      <c r="B601" s="2">
        <v>45740</v>
      </c>
      <c r="C601" t="s">
        <v>90</v>
      </c>
      <c r="D601" t="s">
        <v>16</v>
      </c>
      <c r="E601" t="s">
        <v>17</v>
      </c>
      <c r="F601" t="s">
        <v>18</v>
      </c>
      <c r="G601">
        <v>8</v>
      </c>
      <c r="H601">
        <v>18000</v>
      </c>
      <c r="I601">
        <v>0</v>
      </c>
      <c r="J601" t="str">
        <f>_xlfn.XLOOKUP(tblOrders[[#This Row],[ProductID]],Products!$A$2:$A$9,Products!$B$2:$B$9,"Unknown")</f>
        <v>Tablet</v>
      </c>
      <c r="K601" t="str">
        <f>_xlfn.XLOOKUP(tblOrders[[#This Row],[ProductID]],Products!$A$2:$A$9,Products!$C$2:$C$9,"Unknown")</f>
        <v>Electronics</v>
      </c>
      <c r="L601">
        <f>_xlfn.XLOOKUP(tblOrders[[#This Row],[ProductID]],Products!$A$2:$A$9,Products!$D$2:$D$9,0)</f>
        <v>13500</v>
      </c>
      <c r="M601">
        <f>tblOrders[[#This Row],[Quantity]]*tblOrders[[#This Row],[UnitPrice]]*(1-tblOrders[[#This Row],[Discount]])</f>
        <v>144000</v>
      </c>
      <c r="N601">
        <f>tblOrders[[#This Row],[Quantity]]*tblOrders[[#This Row],[UnitCost]]</f>
        <v>108000</v>
      </c>
      <c r="O601">
        <f>tblOrders[[#This Row],[Revenue]]-tblOrders[[#This Row],[Cost]]</f>
        <v>36000</v>
      </c>
      <c r="P601" t="str">
        <f>TEXT(tblOrders[[#This Row],[OrderDate]],"mmm")</f>
        <v>Mar</v>
      </c>
    </row>
    <row r="602" spans="1:16" x14ac:dyDescent="0.25">
      <c r="A602" t="s">
        <v>62</v>
      </c>
      <c r="B602" s="2">
        <v>45946</v>
      </c>
      <c r="C602" t="s">
        <v>63</v>
      </c>
      <c r="D602" t="s">
        <v>16</v>
      </c>
      <c r="E602" t="s">
        <v>33</v>
      </c>
      <c r="F602" t="s">
        <v>64</v>
      </c>
      <c r="G602">
        <v>2</v>
      </c>
      <c r="H602">
        <v>500</v>
      </c>
      <c r="I602">
        <v>0</v>
      </c>
      <c r="J602" t="str">
        <f>_xlfn.XLOOKUP(tblOrders[[#This Row],[ProductID]],Products!$A$2:$A$9,Products!$B$2:$B$9,"Unknown")</f>
        <v>Mouse</v>
      </c>
      <c r="K602" t="str">
        <f>_xlfn.XLOOKUP(tblOrders[[#This Row],[ProductID]],Products!$A$2:$A$9,Products!$C$2:$C$9,"Unknown")</f>
        <v>Accessories</v>
      </c>
      <c r="L602">
        <f>_xlfn.XLOOKUP(tblOrders[[#This Row],[ProductID]],Products!$A$2:$A$9,Products!$D$2:$D$9,0)</f>
        <v>320</v>
      </c>
      <c r="M602">
        <f>tblOrders[[#This Row],[Quantity]]*tblOrders[[#This Row],[UnitPrice]]*(1-tblOrders[[#This Row],[Discount]])</f>
        <v>1000</v>
      </c>
      <c r="N602">
        <f>tblOrders[[#This Row],[Quantity]]*tblOrders[[#This Row],[UnitCost]]</f>
        <v>640</v>
      </c>
      <c r="O602">
        <f>tblOrders[[#This Row],[Revenue]]-tblOrders[[#This Row],[Cost]]</f>
        <v>360</v>
      </c>
      <c r="P602" t="str">
        <f>TEXT(tblOrders[[#This Row],[OrderDate]],"mmm")</f>
        <v>Oct</v>
      </c>
    </row>
    <row r="603" spans="1:16" x14ac:dyDescent="0.25">
      <c r="A603" t="s">
        <v>624</v>
      </c>
      <c r="B603" s="2">
        <v>45658</v>
      </c>
      <c r="C603" t="s">
        <v>130</v>
      </c>
      <c r="D603" t="s">
        <v>39</v>
      </c>
      <c r="E603" t="s">
        <v>76</v>
      </c>
      <c r="F603" t="s">
        <v>13</v>
      </c>
      <c r="G603">
        <v>2</v>
      </c>
      <c r="H603">
        <v>2000</v>
      </c>
      <c r="I603">
        <v>0</v>
      </c>
      <c r="J603" t="str">
        <f>_xlfn.XLOOKUP(tblOrders[[#This Row],[ProductID]],Products!$A$2:$A$9,Products!$B$2:$B$9,"Unknown")</f>
        <v>Headset</v>
      </c>
      <c r="K603" t="str">
        <f>_xlfn.XLOOKUP(tblOrders[[#This Row],[ProductID]],Products!$A$2:$A$9,Products!$C$2:$C$9,"Unknown")</f>
        <v>Accessories</v>
      </c>
      <c r="L603">
        <f>_xlfn.XLOOKUP(tblOrders[[#This Row],[ProductID]],Products!$A$2:$A$9,Products!$D$2:$D$9,0)</f>
        <v>1300</v>
      </c>
      <c r="M603">
        <f>tblOrders[[#This Row],[Quantity]]*tblOrders[[#This Row],[UnitPrice]]*(1-tblOrders[[#This Row],[Discount]])</f>
        <v>4000</v>
      </c>
      <c r="N603">
        <f>tblOrders[[#This Row],[Quantity]]*tblOrders[[#This Row],[UnitCost]]</f>
        <v>2600</v>
      </c>
      <c r="O603">
        <f>tblOrders[[#This Row],[Revenue]]-tblOrders[[#This Row],[Cost]]</f>
        <v>1400</v>
      </c>
      <c r="P603" t="str">
        <f>TEXT(tblOrders[[#This Row],[OrderDate]],"mmm")</f>
        <v>Jan</v>
      </c>
    </row>
    <row r="604" spans="1:16" x14ac:dyDescent="0.25">
      <c r="A604" t="s">
        <v>799</v>
      </c>
      <c r="B604" s="2">
        <v>45794</v>
      </c>
      <c r="C604" t="s">
        <v>52</v>
      </c>
      <c r="D604" t="s">
        <v>11</v>
      </c>
      <c r="E604" t="s">
        <v>12</v>
      </c>
      <c r="F604" t="s">
        <v>13</v>
      </c>
      <c r="G604">
        <v>6</v>
      </c>
      <c r="H604">
        <v>2000</v>
      </c>
      <c r="I604">
        <v>0.1</v>
      </c>
      <c r="J604" t="str">
        <f>_xlfn.XLOOKUP(tblOrders[[#This Row],[ProductID]],Products!$A$2:$A$9,Products!$B$2:$B$9,"Unknown")</f>
        <v>Headset</v>
      </c>
      <c r="K604" t="str">
        <f>_xlfn.XLOOKUP(tblOrders[[#This Row],[ProductID]],Products!$A$2:$A$9,Products!$C$2:$C$9,"Unknown")</f>
        <v>Accessories</v>
      </c>
      <c r="L604">
        <f>_xlfn.XLOOKUP(tblOrders[[#This Row],[ProductID]],Products!$A$2:$A$9,Products!$D$2:$D$9,0)</f>
        <v>1300</v>
      </c>
      <c r="M604">
        <f>tblOrders[[#This Row],[Quantity]]*tblOrders[[#This Row],[UnitPrice]]*(1-tblOrders[[#This Row],[Discount]])</f>
        <v>10800</v>
      </c>
      <c r="N604">
        <f>tblOrders[[#This Row],[Quantity]]*tblOrders[[#This Row],[UnitCost]]</f>
        <v>7800</v>
      </c>
      <c r="O604">
        <f>tblOrders[[#This Row],[Revenue]]-tblOrders[[#This Row],[Cost]]</f>
        <v>3000</v>
      </c>
      <c r="P604" t="str">
        <f>TEXT(tblOrders[[#This Row],[OrderDate]],"mmm")</f>
        <v>May</v>
      </c>
    </row>
    <row r="605" spans="1:16" x14ac:dyDescent="0.25">
      <c r="A605" t="s">
        <v>348</v>
      </c>
      <c r="B605" s="2">
        <v>45877</v>
      </c>
      <c r="C605" t="s">
        <v>85</v>
      </c>
      <c r="D605" t="s">
        <v>39</v>
      </c>
      <c r="E605" t="s">
        <v>76</v>
      </c>
      <c r="F605" t="s">
        <v>34</v>
      </c>
      <c r="G605">
        <v>5</v>
      </c>
      <c r="H605">
        <v>55000</v>
      </c>
      <c r="I605">
        <v>0</v>
      </c>
      <c r="J605" t="str">
        <f>_xlfn.XLOOKUP(tblOrders[[#This Row],[ProductID]],Products!$A$2:$A$9,Products!$B$2:$B$9,"Unknown")</f>
        <v>Laptop</v>
      </c>
      <c r="K605" t="str">
        <f>_xlfn.XLOOKUP(tblOrders[[#This Row],[ProductID]],Products!$A$2:$A$9,Products!$C$2:$C$9,"Unknown")</f>
        <v>Electronics</v>
      </c>
      <c r="L605">
        <f>_xlfn.XLOOKUP(tblOrders[[#This Row],[ProductID]],Products!$A$2:$A$9,Products!$D$2:$D$9,0)</f>
        <v>41000</v>
      </c>
      <c r="M605">
        <f>tblOrders[[#This Row],[Quantity]]*tblOrders[[#This Row],[UnitPrice]]*(1-tblOrders[[#This Row],[Discount]])</f>
        <v>275000</v>
      </c>
      <c r="N605">
        <f>tblOrders[[#This Row],[Quantity]]*tblOrders[[#This Row],[UnitCost]]</f>
        <v>205000</v>
      </c>
      <c r="O605">
        <f>tblOrders[[#This Row],[Revenue]]-tblOrders[[#This Row],[Cost]]</f>
        <v>70000</v>
      </c>
      <c r="P605" t="str">
        <f>TEXT(tblOrders[[#This Row],[OrderDate]],"mmm")</f>
        <v>Aug</v>
      </c>
    </row>
    <row r="606" spans="1:16" x14ac:dyDescent="0.25">
      <c r="A606" t="s">
        <v>786</v>
      </c>
      <c r="B606" s="2">
        <v>45712</v>
      </c>
      <c r="C606" t="s">
        <v>105</v>
      </c>
      <c r="D606" t="s">
        <v>11</v>
      </c>
      <c r="E606" t="s">
        <v>46</v>
      </c>
      <c r="F606" t="s">
        <v>55</v>
      </c>
      <c r="G606">
        <v>10</v>
      </c>
      <c r="H606">
        <v>8000</v>
      </c>
      <c r="I606">
        <v>0.1</v>
      </c>
      <c r="J606" t="str">
        <f>_xlfn.XLOOKUP(tblOrders[[#This Row],[ProductID]],Products!$A$2:$A$9,Products!$B$2:$B$9,"Unknown")</f>
        <v>Printer</v>
      </c>
      <c r="K606" t="str">
        <f>_xlfn.XLOOKUP(tblOrders[[#This Row],[ProductID]],Products!$A$2:$A$9,Products!$C$2:$C$9,"Unknown")</f>
        <v>Electronics</v>
      </c>
      <c r="L606">
        <f>_xlfn.XLOOKUP(tblOrders[[#This Row],[ProductID]],Products!$A$2:$A$9,Products!$D$2:$D$9,0)</f>
        <v>6200</v>
      </c>
      <c r="M606">
        <f>tblOrders[[#This Row],[Quantity]]*tblOrders[[#This Row],[UnitPrice]]*(1-tblOrders[[#This Row],[Discount]])</f>
        <v>72000</v>
      </c>
      <c r="N606">
        <f>tblOrders[[#This Row],[Quantity]]*tblOrders[[#This Row],[UnitCost]]</f>
        <v>62000</v>
      </c>
      <c r="O606">
        <f>tblOrders[[#This Row],[Revenue]]-tblOrders[[#This Row],[Cost]]</f>
        <v>10000</v>
      </c>
      <c r="P606" t="str">
        <f>TEXT(tblOrders[[#This Row],[OrderDate]],"mmm")</f>
        <v>Feb</v>
      </c>
    </row>
    <row r="607" spans="1:16" x14ac:dyDescent="0.25">
      <c r="A607" t="s">
        <v>252</v>
      </c>
      <c r="B607" s="2">
        <v>45659</v>
      </c>
      <c r="C607" t="s">
        <v>45</v>
      </c>
      <c r="D607" t="s">
        <v>11</v>
      </c>
      <c r="E607" t="s">
        <v>46</v>
      </c>
      <c r="F607" t="s">
        <v>13</v>
      </c>
      <c r="G607">
        <v>11</v>
      </c>
      <c r="H607">
        <v>2000</v>
      </c>
      <c r="I607">
        <v>0</v>
      </c>
      <c r="J607" t="str">
        <f>_xlfn.XLOOKUP(tblOrders[[#This Row],[ProductID]],Products!$A$2:$A$9,Products!$B$2:$B$9,"Unknown")</f>
        <v>Headset</v>
      </c>
      <c r="K607" t="str">
        <f>_xlfn.XLOOKUP(tblOrders[[#This Row],[ProductID]],Products!$A$2:$A$9,Products!$C$2:$C$9,"Unknown")</f>
        <v>Accessories</v>
      </c>
      <c r="L607">
        <f>_xlfn.XLOOKUP(tblOrders[[#This Row],[ProductID]],Products!$A$2:$A$9,Products!$D$2:$D$9,0)</f>
        <v>1300</v>
      </c>
      <c r="M607">
        <f>tblOrders[[#This Row],[Quantity]]*tblOrders[[#This Row],[UnitPrice]]*(1-tblOrders[[#This Row],[Discount]])</f>
        <v>22000</v>
      </c>
      <c r="N607">
        <f>tblOrders[[#This Row],[Quantity]]*tblOrders[[#This Row],[UnitCost]]</f>
        <v>14300</v>
      </c>
      <c r="O607">
        <f>tblOrders[[#This Row],[Revenue]]-tblOrders[[#This Row],[Cost]]</f>
        <v>7700</v>
      </c>
      <c r="P607" t="str">
        <f>TEXT(tblOrders[[#This Row],[OrderDate]],"mmm")</f>
        <v>Jan</v>
      </c>
    </row>
    <row r="608" spans="1:16" x14ac:dyDescent="0.25">
      <c r="A608" t="s">
        <v>466</v>
      </c>
      <c r="B608" s="2">
        <v>45749</v>
      </c>
      <c r="C608" t="s">
        <v>162</v>
      </c>
      <c r="D608" t="s">
        <v>39</v>
      </c>
      <c r="E608" t="s">
        <v>40</v>
      </c>
      <c r="F608" t="s">
        <v>55</v>
      </c>
      <c r="G608">
        <v>11</v>
      </c>
      <c r="H608">
        <v>8000</v>
      </c>
      <c r="I608">
        <v>0</v>
      </c>
      <c r="J608" t="str">
        <f>_xlfn.XLOOKUP(tblOrders[[#This Row],[ProductID]],Products!$A$2:$A$9,Products!$B$2:$B$9,"Unknown")</f>
        <v>Printer</v>
      </c>
      <c r="K608" t="str">
        <f>_xlfn.XLOOKUP(tblOrders[[#This Row],[ProductID]],Products!$A$2:$A$9,Products!$C$2:$C$9,"Unknown")</f>
        <v>Electronics</v>
      </c>
      <c r="L608">
        <f>_xlfn.XLOOKUP(tblOrders[[#This Row],[ProductID]],Products!$A$2:$A$9,Products!$D$2:$D$9,0)</f>
        <v>6200</v>
      </c>
      <c r="M608">
        <f>tblOrders[[#This Row],[Quantity]]*tblOrders[[#This Row],[UnitPrice]]*(1-tblOrders[[#This Row],[Discount]])</f>
        <v>88000</v>
      </c>
      <c r="N608">
        <f>tblOrders[[#This Row],[Quantity]]*tblOrders[[#This Row],[UnitCost]]</f>
        <v>68200</v>
      </c>
      <c r="O608">
        <f>tblOrders[[#This Row],[Revenue]]-tblOrders[[#This Row],[Cost]]</f>
        <v>19800</v>
      </c>
      <c r="P608" t="str">
        <f>TEXT(tblOrders[[#This Row],[OrderDate]],"mmm")</f>
        <v>Apr</v>
      </c>
    </row>
    <row r="609" spans="1:16" x14ac:dyDescent="0.25">
      <c r="A609" t="s">
        <v>807</v>
      </c>
      <c r="B609" s="2">
        <v>45876</v>
      </c>
      <c r="C609" t="s">
        <v>45</v>
      </c>
      <c r="D609" t="s">
        <v>11</v>
      </c>
      <c r="E609" t="s">
        <v>12</v>
      </c>
      <c r="F609" t="s">
        <v>18</v>
      </c>
      <c r="G609">
        <v>15</v>
      </c>
      <c r="H609">
        <v>18000</v>
      </c>
      <c r="I609">
        <v>0</v>
      </c>
      <c r="J609" t="str">
        <f>_xlfn.XLOOKUP(tblOrders[[#This Row],[ProductID]],Products!$A$2:$A$9,Products!$B$2:$B$9,"Unknown")</f>
        <v>Tablet</v>
      </c>
      <c r="K609" t="str">
        <f>_xlfn.XLOOKUP(tblOrders[[#This Row],[ProductID]],Products!$A$2:$A$9,Products!$C$2:$C$9,"Unknown")</f>
        <v>Electronics</v>
      </c>
      <c r="L609">
        <f>_xlfn.XLOOKUP(tblOrders[[#This Row],[ProductID]],Products!$A$2:$A$9,Products!$D$2:$D$9,0)</f>
        <v>13500</v>
      </c>
      <c r="M609">
        <f>tblOrders[[#This Row],[Quantity]]*tblOrders[[#This Row],[UnitPrice]]*(1-tblOrders[[#This Row],[Discount]])</f>
        <v>270000</v>
      </c>
      <c r="N609">
        <f>tblOrders[[#This Row],[Quantity]]*tblOrders[[#This Row],[UnitCost]]</f>
        <v>202500</v>
      </c>
      <c r="O609">
        <f>tblOrders[[#This Row],[Revenue]]-tblOrders[[#This Row],[Cost]]</f>
        <v>67500</v>
      </c>
      <c r="P609" t="str">
        <f>TEXT(tblOrders[[#This Row],[OrderDate]],"mmm")</f>
        <v>Aug</v>
      </c>
    </row>
    <row r="610" spans="1:16" x14ac:dyDescent="0.25">
      <c r="A610" t="s">
        <v>589</v>
      </c>
      <c r="B610" s="2">
        <v>45838</v>
      </c>
      <c r="C610" t="s">
        <v>48</v>
      </c>
      <c r="D610" t="s">
        <v>21</v>
      </c>
      <c r="E610" t="s">
        <v>28</v>
      </c>
      <c r="F610" t="s">
        <v>55</v>
      </c>
      <c r="G610">
        <v>5</v>
      </c>
      <c r="H610">
        <v>8000</v>
      </c>
      <c r="I610">
        <v>0.15</v>
      </c>
      <c r="J610" t="str">
        <f>_xlfn.XLOOKUP(tblOrders[[#This Row],[ProductID]],Products!$A$2:$A$9,Products!$B$2:$B$9,"Unknown")</f>
        <v>Printer</v>
      </c>
      <c r="K610" t="str">
        <f>_xlfn.XLOOKUP(tblOrders[[#This Row],[ProductID]],Products!$A$2:$A$9,Products!$C$2:$C$9,"Unknown")</f>
        <v>Electronics</v>
      </c>
      <c r="L610">
        <f>_xlfn.XLOOKUP(tblOrders[[#This Row],[ProductID]],Products!$A$2:$A$9,Products!$D$2:$D$9,0)</f>
        <v>6200</v>
      </c>
      <c r="M610">
        <f>tblOrders[[#This Row],[Quantity]]*tblOrders[[#This Row],[UnitPrice]]*(1-tblOrders[[#This Row],[Discount]])</f>
        <v>34000</v>
      </c>
      <c r="N610">
        <f>tblOrders[[#This Row],[Quantity]]*tblOrders[[#This Row],[UnitCost]]</f>
        <v>31000</v>
      </c>
      <c r="O610">
        <f>tblOrders[[#This Row],[Revenue]]-tblOrders[[#This Row],[Cost]]</f>
        <v>3000</v>
      </c>
      <c r="P610" t="str">
        <f>TEXT(tblOrders[[#This Row],[OrderDate]],"mmm")</f>
        <v>Jun</v>
      </c>
    </row>
    <row r="611" spans="1:16" x14ac:dyDescent="0.25">
      <c r="A611" t="s">
        <v>812</v>
      </c>
      <c r="B611" s="2">
        <v>45881</v>
      </c>
      <c r="C611" t="s">
        <v>229</v>
      </c>
      <c r="D611" t="s">
        <v>39</v>
      </c>
      <c r="E611" t="s">
        <v>76</v>
      </c>
      <c r="F611" t="s">
        <v>34</v>
      </c>
      <c r="G611">
        <v>8</v>
      </c>
      <c r="H611">
        <v>55000</v>
      </c>
      <c r="I611">
        <v>0</v>
      </c>
      <c r="J611" t="str">
        <f>_xlfn.XLOOKUP(tblOrders[[#This Row],[ProductID]],Products!$A$2:$A$9,Products!$B$2:$B$9,"Unknown")</f>
        <v>Laptop</v>
      </c>
      <c r="K611" t="str">
        <f>_xlfn.XLOOKUP(tblOrders[[#This Row],[ProductID]],Products!$A$2:$A$9,Products!$C$2:$C$9,"Unknown")</f>
        <v>Electronics</v>
      </c>
      <c r="L611">
        <f>_xlfn.XLOOKUP(tblOrders[[#This Row],[ProductID]],Products!$A$2:$A$9,Products!$D$2:$D$9,0)</f>
        <v>41000</v>
      </c>
      <c r="M611">
        <f>tblOrders[[#This Row],[Quantity]]*tblOrders[[#This Row],[UnitPrice]]*(1-tblOrders[[#This Row],[Discount]])</f>
        <v>440000</v>
      </c>
      <c r="N611">
        <f>tblOrders[[#This Row],[Quantity]]*tblOrders[[#This Row],[UnitCost]]</f>
        <v>328000</v>
      </c>
      <c r="O611">
        <f>tblOrders[[#This Row],[Revenue]]-tblOrders[[#This Row],[Cost]]</f>
        <v>112000</v>
      </c>
      <c r="P611" t="str">
        <f>TEXT(tblOrders[[#This Row],[OrderDate]],"mmm")</f>
        <v>Aug</v>
      </c>
    </row>
    <row r="612" spans="1:16" x14ac:dyDescent="0.25">
      <c r="A612" t="s">
        <v>355</v>
      </c>
      <c r="B612" s="2">
        <v>45916</v>
      </c>
      <c r="C612" t="s">
        <v>195</v>
      </c>
      <c r="D612" t="s">
        <v>16</v>
      </c>
      <c r="E612" t="s">
        <v>33</v>
      </c>
      <c r="F612" t="s">
        <v>69</v>
      </c>
      <c r="G612">
        <v>3</v>
      </c>
      <c r="H612">
        <v>12000</v>
      </c>
      <c r="I612">
        <v>0</v>
      </c>
      <c r="J612" t="str">
        <f>_xlfn.XLOOKUP(tblOrders[[#This Row],[ProductID]],Products!$A$2:$A$9,Products!$B$2:$B$9,"Unknown")</f>
        <v>Monitor</v>
      </c>
      <c r="K612" t="str">
        <f>_xlfn.XLOOKUP(tblOrders[[#This Row],[ProductID]],Products!$A$2:$A$9,Products!$C$2:$C$9,"Unknown")</f>
        <v>Electronics</v>
      </c>
      <c r="L612">
        <f>_xlfn.XLOOKUP(tblOrders[[#This Row],[ProductID]],Products!$A$2:$A$9,Products!$D$2:$D$9,0)</f>
        <v>9000</v>
      </c>
      <c r="M612">
        <f>tblOrders[[#This Row],[Quantity]]*tblOrders[[#This Row],[UnitPrice]]*(1-tblOrders[[#This Row],[Discount]])</f>
        <v>36000</v>
      </c>
      <c r="N612">
        <f>tblOrders[[#This Row],[Quantity]]*tblOrders[[#This Row],[UnitCost]]</f>
        <v>27000</v>
      </c>
      <c r="O612">
        <f>tblOrders[[#This Row],[Revenue]]-tblOrders[[#This Row],[Cost]]</f>
        <v>9000</v>
      </c>
      <c r="P612" t="str">
        <f>TEXT(tblOrders[[#This Row],[OrderDate]],"mmm")</f>
        <v>Sep</v>
      </c>
    </row>
    <row r="613" spans="1:16" x14ac:dyDescent="0.25">
      <c r="A613" t="s">
        <v>851</v>
      </c>
      <c r="B613" s="2">
        <v>45946</v>
      </c>
      <c r="C613" t="s">
        <v>73</v>
      </c>
      <c r="D613" t="s">
        <v>16</v>
      </c>
      <c r="E613" t="s">
        <v>33</v>
      </c>
      <c r="F613" t="s">
        <v>34</v>
      </c>
      <c r="G613">
        <v>9</v>
      </c>
      <c r="H613">
        <v>55000</v>
      </c>
      <c r="I613">
        <v>0</v>
      </c>
      <c r="J613" t="str">
        <f>_xlfn.XLOOKUP(tblOrders[[#This Row],[ProductID]],Products!$A$2:$A$9,Products!$B$2:$B$9,"Unknown")</f>
        <v>Laptop</v>
      </c>
      <c r="K613" t="str">
        <f>_xlfn.XLOOKUP(tblOrders[[#This Row],[ProductID]],Products!$A$2:$A$9,Products!$C$2:$C$9,"Unknown")</f>
        <v>Electronics</v>
      </c>
      <c r="L613">
        <f>_xlfn.XLOOKUP(tblOrders[[#This Row],[ProductID]],Products!$A$2:$A$9,Products!$D$2:$D$9,0)</f>
        <v>41000</v>
      </c>
      <c r="M613">
        <f>tblOrders[[#This Row],[Quantity]]*tblOrders[[#This Row],[UnitPrice]]*(1-tblOrders[[#This Row],[Discount]])</f>
        <v>495000</v>
      </c>
      <c r="N613">
        <f>tblOrders[[#This Row],[Quantity]]*tblOrders[[#This Row],[UnitCost]]</f>
        <v>369000</v>
      </c>
      <c r="O613">
        <f>tblOrders[[#This Row],[Revenue]]-tblOrders[[#This Row],[Cost]]</f>
        <v>126000</v>
      </c>
      <c r="P613" t="str">
        <f>TEXT(tblOrders[[#This Row],[OrderDate]],"mmm")</f>
        <v>Oct</v>
      </c>
    </row>
    <row r="614" spans="1:16" x14ac:dyDescent="0.25">
      <c r="A614" t="s">
        <v>718</v>
      </c>
      <c r="B614" s="2">
        <v>46000</v>
      </c>
      <c r="C614" t="s">
        <v>27</v>
      </c>
      <c r="D614" t="s">
        <v>11</v>
      </c>
      <c r="E614" t="s">
        <v>12</v>
      </c>
      <c r="F614" t="s">
        <v>64</v>
      </c>
      <c r="G614">
        <v>1</v>
      </c>
      <c r="H614">
        <v>500</v>
      </c>
      <c r="I614">
        <v>0</v>
      </c>
      <c r="J614" t="str">
        <f>_xlfn.XLOOKUP(tblOrders[[#This Row],[ProductID]],Products!$A$2:$A$9,Products!$B$2:$B$9,"Unknown")</f>
        <v>Mouse</v>
      </c>
      <c r="K614" t="str">
        <f>_xlfn.XLOOKUP(tblOrders[[#This Row],[ProductID]],Products!$A$2:$A$9,Products!$C$2:$C$9,"Unknown")</f>
        <v>Accessories</v>
      </c>
      <c r="L614">
        <f>_xlfn.XLOOKUP(tblOrders[[#This Row],[ProductID]],Products!$A$2:$A$9,Products!$D$2:$D$9,0)</f>
        <v>320</v>
      </c>
      <c r="M614">
        <f>tblOrders[[#This Row],[Quantity]]*tblOrders[[#This Row],[UnitPrice]]*(1-tblOrders[[#This Row],[Discount]])</f>
        <v>500</v>
      </c>
      <c r="N614">
        <f>tblOrders[[#This Row],[Quantity]]*tblOrders[[#This Row],[UnitCost]]</f>
        <v>320</v>
      </c>
      <c r="O614">
        <f>tblOrders[[#This Row],[Revenue]]-tblOrders[[#This Row],[Cost]]</f>
        <v>180</v>
      </c>
      <c r="P614" t="str">
        <f>TEXT(tblOrders[[#This Row],[OrderDate]],"mmm")</f>
        <v>Dec</v>
      </c>
    </row>
    <row r="615" spans="1:16" x14ac:dyDescent="0.25">
      <c r="A615" t="s">
        <v>1066</v>
      </c>
      <c r="B615" s="2">
        <v>45846</v>
      </c>
      <c r="C615" t="s">
        <v>136</v>
      </c>
      <c r="D615" t="s">
        <v>21</v>
      </c>
      <c r="E615" t="s">
        <v>28</v>
      </c>
      <c r="F615" t="s">
        <v>23</v>
      </c>
      <c r="G615">
        <v>13</v>
      </c>
      <c r="H615">
        <v>900</v>
      </c>
      <c r="I615">
        <v>0</v>
      </c>
      <c r="J615" t="str">
        <f>_xlfn.XLOOKUP(tblOrders[[#This Row],[ProductID]],Products!$A$2:$A$9,Products!$B$2:$B$9,"Unknown")</f>
        <v>Keyboard</v>
      </c>
      <c r="K615" t="str">
        <f>_xlfn.XLOOKUP(tblOrders[[#This Row],[ProductID]],Products!$A$2:$A$9,Products!$C$2:$C$9,"Unknown")</f>
        <v>Accessories</v>
      </c>
      <c r="L615">
        <f>_xlfn.XLOOKUP(tblOrders[[#This Row],[ProductID]],Products!$A$2:$A$9,Products!$D$2:$D$9,0)</f>
        <v>600</v>
      </c>
      <c r="M615">
        <f>tblOrders[[#This Row],[Quantity]]*tblOrders[[#This Row],[UnitPrice]]*(1-tblOrders[[#This Row],[Discount]])</f>
        <v>11700</v>
      </c>
      <c r="N615">
        <f>tblOrders[[#This Row],[Quantity]]*tblOrders[[#This Row],[UnitCost]]</f>
        <v>7800</v>
      </c>
      <c r="O615">
        <f>tblOrders[[#This Row],[Revenue]]-tblOrders[[#This Row],[Cost]]</f>
        <v>3900</v>
      </c>
      <c r="P615" t="str">
        <f>TEXT(tblOrders[[#This Row],[OrderDate]],"mmm")</f>
        <v>Jul</v>
      </c>
    </row>
    <row r="616" spans="1:16" x14ac:dyDescent="0.25">
      <c r="A616" t="s">
        <v>945</v>
      </c>
      <c r="B616" s="2">
        <v>45830</v>
      </c>
      <c r="C616" t="s">
        <v>38</v>
      </c>
      <c r="D616" t="s">
        <v>11</v>
      </c>
      <c r="E616" t="s">
        <v>46</v>
      </c>
      <c r="F616" t="s">
        <v>69</v>
      </c>
      <c r="G616">
        <v>2</v>
      </c>
      <c r="H616">
        <v>12000</v>
      </c>
      <c r="I616">
        <v>0</v>
      </c>
      <c r="J616" t="str">
        <f>_xlfn.XLOOKUP(tblOrders[[#This Row],[ProductID]],Products!$A$2:$A$9,Products!$B$2:$B$9,"Unknown")</f>
        <v>Monitor</v>
      </c>
      <c r="K616" t="str">
        <f>_xlfn.XLOOKUP(tblOrders[[#This Row],[ProductID]],Products!$A$2:$A$9,Products!$C$2:$C$9,"Unknown")</f>
        <v>Electronics</v>
      </c>
      <c r="L616">
        <f>_xlfn.XLOOKUP(tblOrders[[#This Row],[ProductID]],Products!$A$2:$A$9,Products!$D$2:$D$9,0)</f>
        <v>9000</v>
      </c>
      <c r="M616">
        <f>tblOrders[[#This Row],[Quantity]]*tblOrders[[#This Row],[UnitPrice]]*(1-tblOrders[[#This Row],[Discount]])</f>
        <v>24000</v>
      </c>
      <c r="N616">
        <f>tblOrders[[#This Row],[Quantity]]*tblOrders[[#This Row],[UnitCost]]</f>
        <v>18000</v>
      </c>
      <c r="O616">
        <f>tblOrders[[#This Row],[Revenue]]-tblOrders[[#This Row],[Cost]]</f>
        <v>6000</v>
      </c>
      <c r="P616" t="str">
        <f>TEXT(tblOrders[[#This Row],[OrderDate]],"mmm")</f>
        <v>Jun</v>
      </c>
    </row>
    <row r="617" spans="1:16" x14ac:dyDescent="0.25">
      <c r="A617" t="s">
        <v>477</v>
      </c>
      <c r="B617" s="2">
        <v>45776</v>
      </c>
      <c r="C617" t="s">
        <v>175</v>
      </c>
      <c r="D617" t="s">
        <v>11</v>
      </c>
      <c r="E617" t="s">
        <v>46</v>
      </c>
      <c r="F617" t="s">
        <v>18</v>
      </c>
      <c r="G617">
        <v>4</v>
      </c>
      <c r="H617">
        <v>18000</v>
      </c>
      <c r="I617">
        <v>0</v>
      </c>
      <c r="J617" t="str">
        <f>_xlfn.XLOOKUP(tblOrders[[#This Row],[ProductID]],Products!$A$2:$A$9,Products!$B$2:$B$9,"Unknown")</f>
        <v>Tablet</v>
      </c>
      <c r="K617" t="str">
        <f>_xlfn.XLOOKUP(tblOrders[[#This Row],[ProductID]],Products!$A$2:$A$9,Products!$C$2:$C$9,"Unknown")</f>
        <v>Electronics</v>
      </c>
      <c r="L617">
        <f>_xlfn.XLOOKUP(tblOrders[[#This Row],[ProductID]],Products!$A$2:$A$9,Products!$D$2:$D$9,0)</f>
        <v>13500</v>
      </c>
      <c r="M617">
        <f>tblOrders[[#This Row],[Quantity]]*tblOrders[[#This Row],[UnitPrice]]*(1-tblOrders[[#This Row],[Discount]])</f>
        <v>72000</v>
      </c>
      <c r="N617">
        <f>tblOrders[[#This Row],[Quantity]]*tblOrders[[#This Row],[UnitCost]]</f>
        <v>54000</v>
      </c>
      <c r="O617">
        <f>tblOrders[[#This Row],[Revenue]]-tblOrders[[#This Row],[Cost]]</f>
        <v>18000</v>
      </c>
      <c r="P617" t="str">
        <f>TEXT(tblOrders[[#This Row],[OrderDate]],"mmm")</f>
        <v>Apr</v>
      </c>
    </row>
    <row r="618" spans="1:16" x14ac:dyDescent="0.25">
      <c r="A618" t="s">
        <v>387</v>
      </c>
      <c r="B618" s="2">
        <v>45898</v>
      </c>
      <c r="C618" t="s">
        <v>50</v>
      </c>
      <c r="D618" t="s">
        <v>21</v>
      </c>
      <c r="E618" t="s">
        <v>28</v>
      </c>
      <c r="F618" t="s">
        <v>23</v>
      </c>
      <c r="G618">
        <v>1</v>
      </c>
      <c r="H618">
        <v>900</v>
      </c>
      <c r="I618">
        <v>0.05</v>
      </c>
      <c r="J618" t="str">
        <f>_xlfn.XLOOKUP(tblOrders[[#This Row],[ProductID]],Products!$A$2:$A$9,Products!$B$2:$B$9,"Unknown")</f>
        <v>Keyboard</v>
      </c>
      <c r="K618" t="str">
        <f>_xlfn.XLOOKUP(tblOrders[[#This Row],[ProductID]],Products!$A$2:$A$9,Products!$C$2:$C$9,"Unknown")</f>
        <v>Accessories</v>
      </c>
      <c r="L618">
        <f>_xlfn.XLOOKUP(tblOrders[[#This Row],[ProductID]],Products!$A$2:$A$9,Products!$D$2:$D$9,0)</f>
        <v>600</v>
      </c>
      <c r="M618">
        <f>tblOrders[[#This Row],[Quantity]]*tblOrders[[#This Row],[UnitPrice]]*(1-tblOrders[[#This Row],[Discount]])</f>
        <v>855</v>
      </c>
      <c r="N618">
        <f>tblOrders[[#This Row],[Quantity]]*tblOrders[[#This Row],[UnitCost]]</f>
        <v>600</v>
      </c>
      <c r="O618">
        <f>tblOrders[[#This Row],[Revenue]]-tblOrders[[#This Row],[Cost]]</f>
        <v>255</v>
      </c>
      <c r="P618" t="str">
        <f>TEXT(tblOrders[[#This Row],[OrderDate]],"mmm")</f>
        <v>Aug</v>
      </c>
    </row>
    <row r="619" spans="1:16" x14ac:dyDescent="0.25">
      <c r="A619" t="s">
        <v>710</v>
      </c>
      <c r="B619" s="2">
        <v>45703</v>
      </c>
      <c r="C619" t="s">
        <v>80</v>
      </c>
      <c r="D619" t="s">
        <v>39</v>
      </c>
      <c r="E619" t="s">
        <v>40</v>
      </c>
      <c r="F619" t="s">
        <v>18</v>
      </c>
      <c r="G619">
        <v>13</v>
      </c>
      <c r="H619">
        <v>18000</v>
      </c>
      <c r="I619">
        <v>0</v>
      </c>
      <c r="J619" t="str">
        <f>_xlfn.XLOOKUP(tblOrders[[#This Row],[ProductID]],Products!$A$2:$A$9,Products!$B$2:$B$9,"Unknown")</f>
        <v>Tablet</v>
      </c>
      <c r="K619" t="str">
        <f>_xlfn.XLOOKUP(tblOrders[[#This Row],[ProductID]],Products!$A$2:$A$9,Products!$C$2:$C$9,"Unknown")</f>
        <v>Electronics</v>
      </c>
      <c r="L619">
        <f>_xlfn.XLOOKUP(tblOrders[[#This Row],[ProductID]],Products!$A$2:$A$9,Products!$D$2:$D$9,0)</f>
        <v>13500</v>
      </c>
      <c r="M619">
        <f>tblOrders[[#This Row],[Quantity]]*tblOrders[[#This Row],[UnitPrice]]*(1-tblOrders[[#This Row],[Discount]])</f>
        <v>234000</v>
      </c>
      <c r="N619">
        <f>tblOrders[[#This Row],[Quantity]]*tblOrders[[#This Row],[UnitCost]]</f>
        <v>175500</v>
      </c>
      <c r="O619">
        <f>tblOrders[[#This Row],[Revenue]]-tblOrders[[#This Row],[Cost]]</f>
        <v>58500</v>
      </c>
      <c r="P619" t="str">
        <f>TEXT(tblOrders[[#This Row],[OrderDate]],"mmm")</f>
        <v>Feb</v>
      </c>
    </row>
    <row r="620" spans="1:16" x14ac:dyDescent="0.25">
      <c r="A620" t="s">
        <v>844</v>
      </c>
      <c r="B620" s="2">
        <v>45810</v>
      </c>
      <c r="C620" t="s">
        <v>121</v>
      </c>
      <c r="D620" t="s">
        <v>16</v>
      </c>
      <c r="E620" t="s">
        <v>17</v>
      </c>
      <c r="F620" t="s">
        <v>18</v>
      </c>
      <c r="G620">
        <v>3</v>
      </c>
      <c r="H620">
        <v>18000</v>
      </c>
      <c r="I620">
        <v>0</v>
      </c>
      <c r="J620" t="str">
        <f>_xlfn.XLOOKUP(tblOrders[[#This Row],[ProductID]],Products!$A$2:$A$9,Products!$B$2:$B$9,"Unknown")</f>
        <v>Tablet</v>
      </c>
      <c r="K620" t="str">
        <f>_xlfn.XLOOKUP(tblOrders[[#This Row],[ProductID]],Products!$A$2:$A$9,Products!$C$2:$C$9,"Unknown")</f>
        <v>Electronics</v>
      </c>
      <c r="L620">
        <f>_xlfn.XLOOKUP(tblOrders[[#This Row],[ProductID]],Products!$A$2:$A$9,Products!$D$2:$D$9,0)</f>
        <v>13500</v>
      </c>
      <c r="M620">
        <f>tblOrders[[#This Row],[Quantity]]*tblOrders[[#This Row],[UnitPrice]]*(1-tblOrders[[#This Row],[Discount]])</f>
        <v>54000</v>
      </c>
      <c r="N620">
        <f>tblOrders[[#This Row],[Quantity]]*tblOrders[[#This Row],[UnitCost]]</f>
        <v>40500</v>
      </c>
      <c r="O620">
        <f>tblOrders[[#This Row],[Revenue]]-tblOrders[[#This Row],[Cost]]</f>
        <v>13500</v>
      </c>
      <c r="P620" t="str">
        <f>TEXT(tblOrders[[#This Row],[OrderDate]],"mmm")</f>
        <v>Jun</v>
      </c>
    </row>
    <row r="621" spans="1:16" x14ac:dyDescent="0.25">
      <c r="A621" t="s">
        <v>147</v>
      </c>
      <c r="B621" s="2">
        <v>45720</v>
      </c>
      <c r="C621" t="s">
        <v>130</v>
      </c>
      <c r="D621" t="s">
        <v>39</v>
      </c>
      <c r="E621" t="s">
        <v>76</v>
      </c>
      <c r="F621" t="s">
        <v>23</v>
      </c>
      <c r="G621">
        <v>15</v>
      </c>
      <c r="H621">
        <v>900</v>
      </c>
      <c r="I621">
        <v>0.05</v>
      </c>
      <c r="J621" t="str">
        <f>_xlfn.XLOOKUP(tblOrders[[#This Row],[ProductID]],Products!$A$2:$A$9,Products!$B$2:$B$9,"Unknown")</f>
        <v>Keyboard</v>
      </c>
      <c r="K621" t="str">
        <f>_xlfn.XLOOKUP(tblOrders[[#This Row],[ProductID]],Products!$A$2:$A$9,Products!$C$2:$C$9,"Unknown")</f>
        <v>Accessories</v>
      </c>
      <c r="L621">
        <f>_xlfn.XLOOKUP(tblOrders[[#This Row],[ProductID]],Products!$A$2:$A$9,Products!$D$2:$D$9,0)</f>
        <v>600</v>
      </c>
      <c r="M621">
        <f>tblOrders[[#This Row],[Quantity]]*tblOrders[[#This Row],[UnitPrice]]*(1-tblOrders[[#This Row],[Discount]])</f>
        <v>12825</v>
      </c>
      <c r="N621">
        <f>tblOrders[[#This Row],[Quantity]]*tblOrders[[#This Row],[UnitCost]]</f>
        <v>9000</v>
      </c>
      <c r="O621">
        <f>tblOrders[[#This Row],[Revenue]]-tblOrders[[#This Row],[Cost]]</f>
        <v>3825</v>
      </c>
      <c r="P621" t="str">
        <f>TEXT(tblOrders[[#This Row],[OrderDate]],"mmm")</f>
        <v>Mar</v>
      </c>
    </row>
    <row r="622" spans="1:16" x14ac:dyDescent="0.25">
      <c r="A622" t="s">
        <v>583</v>
      </c>
      <c r="B622" s="2">
        <v>45762</v>
      </c>
      <c r="C622" t="s">
        <v>10</v>
      </c>
      <c r="D622" t="s">
        <v>21</v>
      </c>
      <c r="E622" t="s">
        <v>22</v>
      </c>
      <c r="F622" t="s">
        <v>13</v>
      </c>
      <c r="G622">
        <v>14</v>
      </c>
      <c r="H622">
        <v>2000</v>
      </c>
      <c r="I622">
        <v>0.1</v>
      </c>
      <c r="J622" t="str">
        <f>_xlfn.XLOOKUP(tblOrders[[#This Row],[ProductID]],Products!$A$2:$A$9,Products!$B$2:$B$9,"Unknown")</f>
        <v>Headset</v>
      </c>
      <c r="K622" t="str">
        <f>_xlfn.XLOOKUP(tblOrders[[#This Row],[ProductID]],Products!$A$2:$A$9,Products!$C$2:$C$9,"Unknown")</f>
        <v>Accessories</v>
      </c>
      <c r="L622">
        <f>_xlfn.XLOOKUP(tblOrders[[#This Row],[ProductID]],Products!$A$2:$A$9,Products!$D$2:$D$9,0)</f>
        <v>1300</v>
      </c>
      <c r="M622">
        <f>tblOrders[[#This Row],[Quantity]]*tblOrders[[#This Row],[UnitPrice]]*(1-tblOrders[[#This Row],[Discount]])</f>
        <v>25200</v>
      </c>
      <c r="N622">
        <f>tblOrders[[#This Row],[Quantity]]*tblOrders[[#This Row],[UnitCost]]</f>
        <v>18200</v>
      </c>
      <c r="O622">
        <f>tblOrders[[#This Row],[Revenue]]-tblOrders[[#This Row],[Cost]]</f>
        <v>7000</v>
      </c>
      <c r="P622" t="str">
        <f>TEXT(tblOrders[[#This Row],[OrderDate]],"mmm")</f>
        <v>Apr</v>
      </c>
    </row>
    <row r="623" spans="1:16" x14ac:dyDescent="0.25">
      <c r="A623" t="s">
        <v>204</v>
      </c>
      <c r="B623" s="2">
        <v>45809</v>
      </c>
      <c r="C623" t="s">
        <v>15</v>
      </c>
      <c r="D623" t="s">
        <v>16</v>
      </c>
      <c r="E623" t="s">
        <v>17</v>
      </c>
      <c r="F623" t="s">
        <v>23</v>
      </c>
      <c r="G623">
        <v>13</v>
      </c>
      <c r="H623">
        <v>900</v>
      </c>
      <c r="I623">
        <v>0.05</v>
      </c>
      <c r="J623" t="str">
        <f>_xlfn.XLOOKUP(tblOrders[[#This Row],[ProductID]],Products!$A$2:$A$9,Products!$B$2:$B$9,"Unknown")</f>
        <v>Keyboard</v>
      </c>
      <c r="K623" t="str">
        <f>_xlfn.XLOOKUP(tblOrders[[#This Row],[ProductID]],Products!$A$2:$A$9,Products!$C$2:$C$9,"Unknown")</f>
        <v>Accessories</v>
      </c>
      <c r="L623">
        <f>_xlfn.XLOOKUP(tblOrders[[#This Row],[ProductID]],Products!$A$2:$A$9,Products!$D$2:$D$9,0)</f>
        <v>600</v>
      </c>
      <c r="M623">
        <f>tblOrders[[#This Row],[Quantity]]*tblOrders[[#This Row],[UnitPrice]]*(1-tblOrders[[#This Row],[Discount]])</f>
        <v>11115</v>
      </c>
      <c r="N623">
        <f>tblOrders[[#This Row],[Quantity]]*tblOrders[[#This Row],[UnitCost]]</f>
        <v>7800</v>
      </c>
      <c r="O623">
        <f>tblOrders[[#This Row],[Revenue]]-tblOrders[[#This Row],[Cost]]</f>
        <v>3315</v>
      </c>
      <c r="P623" t="str">
        <f>TEXT(tblOrders[[#This Row],[OrderDate]],"mmm")</f>
        <v>Jun</v>
      </c>
    </row>
    <row r="624" spans="1:16" x14ac:dyDescent="0.25">
      <c r="A624" t="s">
        <v>1059</v>
      </c>
      <c r="B624" s="2">
        <v>45962</v>
      </c>
      <c r="C624" t="s">
        <v>15</v>
      </c>
      <c r="D624" t="s">
        <v>39</v>
      </c>
      <c r="E624" t="s">
        <v>76</v>
      </c>
      <c r="F624" t="s">
        <v>18</v>
      </c>
      <c r="G624">
        <v>7</v>
      </c>
      <c r="H624">
        <v>18000</v>
      </c>
      <c r="I624">
        <v>0</v>
      </c>
      <c r="J624" t="str">
        <f>_xlfn.XLOOKUP(tblOrders[[#This Row],[ProductID]],Products!$A$2:$A$9,Products!$B$2:$B$9,"Unknown")</f>
        <v>Tablet</v>
      </c>
      <c r="K624" t="str">
        <f>_xlfn.XLOOKUP(tblOrders[[#This Row],[ProductID]],Products!$A$2:$A$9,Products!$C$2:$C$9,"Unknown")</f>
        <v>Electronics</v>
      </c>
      <c r="L624">
        <f>_xlfn.XLOOKUP(tblOrders[[#This Row],[ProductID]],Products!$A$2:$A$9,Products!$D$2:$D$9,0)</f>
        <v>13500</v>
      </c>
      <c r="M624">
        <f>tblOrders[[#This Row],[Quantity]]*tblOrders[[#This Row],[UnitPrice]]*(1-tblOrders[[#This Row],[Discount]])</f>
        <v>126000</v>
      </c>
      <c r="N624">
        <f>tblOrders[[#This Row],[Quantity]]*tblOrders[[#This Row],[UnitCost]]</f>
        <v>94500</v>
      </c>
      <c r="O624">
        <f>tblOrders[[#This Row],[Revenue]]-tblOrders[[#This Row],[Cost]]</f>
        <v>31500</v>
      </c>
      <c r="P624" t="str">
        <f>TEXT(tblOrders[[#This Row],[OrderDate]],"mmm")</f>
        <v>Nov</v>
      </c>
    </row>
    <row r="625" spans="1:16" x14ac:dyDescent="0.25">
      <c r="A625" t="s">
        <v>1035</v>
      </c>
      <c r="B625" s="2">
        <v>45882</v>
      </c>
      <c r="C625" t="s">
        <v>171</v>
      </c>
      <c r="D625" t="s">
        <v>11</v>
      </c>
      <c r="E625" t="s">
        <v>46</v>
      </c>
      <c r="F625" t="s">
        <v>43</v>
      </c>
      <c r="G625">
        <v>2</v>
      </c>
      <c r="H625">
        <v>1500</v>
      </c>
      <c r="I625">
        <v>0</v>
      </c>
      <c r="J625" t="str">
        <f>_xlfn.XLOOKUP(tblOrders[[#This Row],[ProductID]],Products!$A$2:$A$9,Products!$B$2:$B$9,"Unknown")</f>
        <v>Webcam</v>
      </c>
      <c r="K625" t="str">
        <f>_xlfn.XLOOKUP(tblOrders[[#This Row],[ProductID]],Products!$A$2:$A$9,Products!$C$2:$C$9,"Unknown")</f>
        <v>Accessories</v>
      </c>
      <c r="L625">
        <f>_xlfn.XLOOKUP(tblOrders[[#This Row],[ProductID]],Products!$A$2:$A$9,Products!$D$2:$D$9,0)</f>
        <v>980</v>
      </c>
      <c r="M625">
        <f>tblOrders[[#This Row],[Quantity]]*tblOrders[[#This Row],[UnitPrice]]*(1-tblOrders[[#This Row],[Discount]])</f>
        <v>3000</v>
      </c>
      <c r="N625">
        <f>tblOrders[[#This Row],[Quantity]]*tblOrders[[#This Row],[UnitCost]]</f>
        <v>1960</v>
      </c>
      <c r="O625">
        <f>tblOrders[[#This Row],[Revenue]]-tblOrders[[#This Row],[Cost]]</f>
        <v>1040</v>
      </c>
      <c r="P625" t="str">
        <f>TEXT(tblOrders[[#This Row],[OrderDate]],"mmm")</f>
        <v>Aug</v>
      </c>
    </row>
    <row r="626" spans="1:16" x14ac:dyDescent="0.25">
      <c r="A626" t="s">
        <v>104</v>
      </c>
      <c r="B626" s="2">
        <v>45796</v>
      </c>
      <c r="C626" t="s">
        <v>105</v>
      </c>
      <c r="D626" t="s">
        <v>16</v>
      </c>
      <c r="E626" t="s">
        <v>33</v>
      </c>
      <c r="F626" t="s">
        <v>13</v>
      </c>
      <c r="G626">
        <v>15</v>
      </c>
      <c r="H626">
        <v>2000</v>
      </c>
      <c r="I626">
        <v>0.1</v>
      </c>
      <c r="J626" t="str">
        <f>_xlfn.XLOOKUP(tblOrders[[#This Row],[ProductID]],Products!$A$2:$A$9,Products!$B$2:$B$9,"Unknown")</f>
        <v>Headset</v>
      </c>
      <c r="K626" t="str">
        <f>_xlfn.XLOOKUP(tblOrders[[#This Row],[ProductID]],Products!$A$2:$A$9,Products!$C$2:$C$9,"Unknown")</f>
        <v>Accessories</v>
      </c>
      <c r="L626">
        <f>_xlfn.XLOOKUP(tblOrders[[#This Row],[ProductID]],Products!$A$2:$A$9,Products!$D$2:$D$9,0)</f>
        <v>1300</v>
      </c>
      <c r="M626">
        <f>tblOrders[[#This Row],[Quantity]]*tblOrders[[#This Row],[UnitPrice]]*(1-tblOrders[[#This Row],[Discount]])</f>
        <v>27000</v>
      </c>
      <c r="N626">
        <f>tblOrders[[#This Row],[Quantity]]*tblOrders[[#This Row],[UnitCost]]</f>
        <v>19500</v>
      </c>
      <c r="O626">
        <f>tblOrders[[#This Row],[Revenue]]-tblOrders[[#This Row],[Cost]]</f>
        <v>7500</v>
      </c>
      <c r="P626" t="str">
        <f>TEXT(tblOrders[[#This Row],[OrderDate]],"mmm")</f>
        <v>May</v>
      </c>
    </row>
    <row r="627" spans="1:16" x14ac:dyDescent="0.25">
      <c r="A627" t="s">
        <v>461</v>
      </c>
      <c r="B627" s="2">
        <v>45846</v>
      </c>
      <c r="C627" t="s">
        <v>135</v>
      </c>
      <c r="D627" t="s">
        <v>21</v>
      </c>
      <c r="E627" t="s">
        <v>28</v>
      </c>
      <c r="F627" t="s">
        <v>43</v>
      </c>
      <c r="G627">
        <v>11</v>
      </c>
      <c r="H627">
        <v>1500</v>
      </c>
      <c r="I627">
        <v>0</v>
      </c>
      <c r="J627" t="str">
        <f>_xlfn.XLOOKUP(tblOrders[[#This Row],[ProductID]],Products!$A$2:$A$9,Products!$B$2:$B$9,"Unknown")</f>
        <v>Webcam</v>
      </c>
      <c r="K627" t="str">
        <f>_xlfn.XLOOKUP(tblOrders[[#This Row],[ProductID]],Products!$A$2:$A$9,Products!$C$2:$C$9,"Unknown")</f>
        <v>Accessories</v>
      </c>
      <c r="L627">
        <f>_xlfn.XLOOKUP(tblOrders[[#This Row],[ProductID]],Products!$A$2:$A$9,Products!$D$2:$D$9,0)</f>
        <v>980</v>
      </c>
      <c r="M627">
        <f>tblOrders[[#This Row],[Quantity]]*tblOrders[[#This Row],[UnitPrice]]*(1-tblOrders[[#This Row],[Discount]])</f>
        <v>16500</v>
      </c>
      <c r="N627">
        <f>tblOrders[[#This Row],[Quantity]]*tblOrders[[#This Row],[UnitCost]]</f>
        <v>10780</v>
      </c>
      <c r="O627">
        <f>tblOrders[[#This Row],[Revenue]]-tblOrders[[#This Row],[Cost]]</f>
        <v>5720</v>
      </c>
      <c r="P627" t="str">
        <f>TEXT(tblOrders[[#This Row],[OrderDate]],"mmm")</f>
        <v>Jul</v>
      </c>
    </row>
    <row r="628" spans="1:16" x14ac:dyDescent="0.25">
      <c r="A628" t="s">
        <v>459</v>
      </c>
      <c r="B628" s="2">
        <v>45851</v>
      </c>
      <c r="C628" t="s">
        <v>38</v>
      </c>
      <c r="D628" t="s">
        <v>21</v>
      </c>
      <c r="E628" t="s">
        <v>28</v>
      </c>
      <c r="F628" t="s">
        <v>23</v>
      </c>
      <c r="G628">
        <v>10</v>
      </c>
      <c r="H628">
        <v>900</v>
      </c>
      <c r="I628">
        <v>0</v>
      </c>
      <c r="J628" t="str">
        <f>_xlfn.XLOOKUP(tblOrders[[#This Row],[ProductID]],Products!$A$2:$A$9,Products!$B$2:$B$9,"Unknown")</f>
        <v>Keyboard</v>
      </c>
      <c r="K628" t="str">
        <f>_xlfn.XLOOKUP(tblOrders[[#This Row],[ProductID]],Products!$A$2:$A$9,Products!$C$2:$C$9,"Unknown")</f>
        <v>Accessories</v>
      </c>
      <c r="L628">
        <f>_xlfn.XLOOKUP(tblOrders[[#This Row],[ProductID]],Products!$A$2:$A$9,Products!$D$2:$D$9,0)</f>
        <v>600</v>
      </c>
      <c r="M628">
        <f>tblOrders[[#This Row],[Quantity]]*tblOrders[[#This Row],[UnitPrice]]*(1-tblOrders[[#This Row],[Discount]])</f>
        <v>9000</v>
      </c>
      <c r="N628">
        <f>tblOrders[[#This Row],[Quantity]]*tblOrders[[#This Row],[UnitCost]]</f>
        <v>6000</v>
      </c>
      <c r="O628">
        <f>tblOrders[[#This Row],[Revenue]]-tblOrders[[#This Row],[Cost]]</f>
        <v>3000</v>
      </c>
      <c r="P628" t="str">
        <f>TEXT(tblOrders[[#This Row],[OrderDate]],"mmm")</f>
        <v>Jul</v>
      </c>
    </row>
    <row r="629" spans="1:16" x14ac:dyDescent="0.25">
      <c r="A629" t="s">
        <v>202</v>
      </c>
      <c r="B629" s="2">
        <v>45810</v>
      </c>
      <c r="C629" t="s">
        <v>63</v>
      </c>
      <c r="D629" t="s">
        <v>11</v>
      </c>
      <c r="E629" t="s">
        <v>46</v>
      </c>
      <c r="F629" t="s">
        <v>18</v>
      </c>
      <c r="G629">
        <v>4</v>
      </c>
      <c r="H629">
        <v>18000</v>
      </c>
      <c r="I629">
        <v>0</v>
      </c>
      <c r="J629" t="str">
        <f>_xlfn.XLOOKUP(tblOrders[[#This Row],[ProductID]],Products!$A$2:$A$9,Products!$B$2:$B$9,"Unknown")</f>
        <v>Tablet</v>
      </c>
      <c r="K629" t="str">
        <f>_xlfn.XLOOKUP(tblOrders[[#This Row],[ProductID]],Products!$A$2:$A$9,Products!$C$2:$C$9,"Unknown")</f>
        <v>Electronics</v>
      </c>
      <c r="L629">
        <f>_xlfn.XLOOKUP(tblOrders[[#This Row],[ProductID]],Products!$A$2:$A$9,Products!$D$2:$D$9,0)</f>
        <v>13500</v>
      </c>
      <c r="M629">
        <f>tblOrders[[#This Row],[Quantity]]*tblOrders[[#This Row],[UnitPrice]]*(1-tblOrders[[#This Row],[Discount]])</f>
        <v>72000</v>
      </c>
      <c r="N629">
        <f>tblOrders[[#This Row],[Quantity]]*tblOrders[[#This Row],[UnitCost]]</f>
        <v>54000</v>
      </c>
      <c r="O629">
        <f>tblOrders[[#This Row],[Revenue]]-tblOrders[[#This Row],[Cost]]</f>
        <v>18000</v>
      </c>
      <c r="P629" t="str">
        <f>TEXT(tblOrders[[#This Row],[OrderDate]],"mmm")</f>
        <v>Jun</v>
      </c>
    </row>
    <row r="630" spans="1:16" x14ac:dyDescent="0.25">
      <c r="A630" t="s">
        <v>666</v>
      </c>
      <c r="B630" s="2">
        <v>45962</v>
      </c>
      <c r="C630" t="s">
        <v>59</v>
      </c>
      <c r="D630" t="s">
        <v>21</v>
      </c>
      <c r="E630" t="s">
        <v>22</v>
      </c>
      <c r="F630" t="s">
        <v>34</v>
      </c>
      <c r="G630">
        <v>6</v>
      </c>
      <c r="H630">
        <v>55000</v>
      </c>
      <c r="I630">
        <v>0</v>
      </c>
      <c r="J630" t="str">
        <f>_xlfn.XLOOKUP(tblOrders[[#This Row],[ProductID]],Products!$A$2:$A$9,Products!$B$2:$B$9,"Unknown")</f>
        <v>Laptop</v>
      </c>
      <c r="K630" t="str">
        <f>_xlfn.XLOOKUP(tblOrders[[#This Row],[ProductID]],Products!$A$2:$A$9,Products!$C$2:$C$9,"Unknown")</f>
        <v>Electronics</v>
      </c>
      <c r="L630">
        <f>_xlfn.XLOOKUP(tblOrders[[#This Row],[ProductID]],Products!$A$2:$A$9,Products!$D$2:$D$9,0)</f>
        <v>41000</v>
      </c>
      <c r="M630">
        <f>tblOrders[[#This Row],[Quantity]]*tblOrders[[#This Row],[UnitPrice]]*(1-tblOrders[[#This Row],[Discount]])</f>
        <v>330000</v>
      </c>
      <c r="N630">
        <f>tblOrders[[#This Row],[Quantity]]*tblOrders[[#This Row],[UnitCost]]</f>
        <v>246000</v>
      </c>
      <c r="O630">
        <f>tblOrders[[#This Row],[Revenue]]-tblOrders[[#This Row],[Cost]]</f>
        <v>84000</v>
      </c>
      <c r="P630" t="str">
        <f>TEXT(tblOrders[[#This Row],[OrderDate]],"mmm")</f>
        <v>Nov</v>
      </c>
    </row>
    <row r="631" spans="1:16" x14ac:dyDescent="0.25">
      <c r="A631" t="s">
        <v>285</v>
      </c>
      <c r="B631" s="2">
        <v>45670</v>
      </c>
      <c r="C631" t="s">
        <v>52</v>
      </c>
      <c r="D631" t="s">
        <v>39</v>
      </c>
      <c r="E631" t="s">
        <v>76</v>
      </c>
      <c r="F631" t="s">
        <v>18</v>
      </c>
      <c r="G631">
        <v>7</v>
      </c>
      <c r="H631">
        <v>18000</v>
      </c>
      <c r="I631">
        <v>0.1</v>
      </c>
      <c r="J631" t="str">
        <f>_xlfn.XLOOKUP(tblOrders[[#This Row],[ProductID]],Products!$A$2:$A$9,Products!$B$2:$B$9,"Unknown")</f>
        <v>Tablet</v>
      </c>
      <c r="K631" t="str">
        <f>_xlfn.XLOOKUP(tblOrders[[#This Row],[ProductID]],Products!$A$2:$A$9,Products!$C$2:$C$9,"Unknown")</f>
        <v>Electronics</v>
      </c>
      <c r="L631">
        <f>_xlfn.XLOOKUP(tblOrders[[#This Row],[ProductID]],Products!$A$2:$A$9,Products!$D$2:$D$9,0)</f>
        <v>13500</v>
      </c>
      <c r="M631">
        <f>tblOrders[[#This Row],[Quantity]]*tblOrders[[#This Row],[UnitPrice]]*(1-tblOrders[[#This Row],[Discount]])</f>
        <v>113400</v>
      </c>
      <c r="N631">
        <f>tblOrders[[#This Row],[Quantity]]*tblOrders[[#This Row],[UnitCost]]</f>
        <v>94500</v>
      </c>
      <c r="O631">
        <f>tblOrders[[#This Row],[Revenue]]-tblOrders[[#This Row],[Cost]]</f>
        <v>18900</v>
      </c>
      <c r="P631" t="str">
        <f>TEXT(tblOrders[[#This Row],[OrderDate]],"mmm")</f>
        <v>Jan</v>
      </c>
    </row>
    <row r="632" spans="1:16" x14ac:dyDescent="0.25">
      <c r="A632" t="s">
        <v>449</v>
      </c>
      <c r="B632" s="2">
        <v>45707</v>
      </c>
      <c r="C632" t="s">
        <v>151</v>
      </c>
      <c r="D632" t="s">
        <v>16</v>
      </c>
      <c r="E632" t="s">
        <v>33</v>
      </c>
      <c r="F632" t="s">
        <v>13</v>
      </c>
      <c r="G632">
        <v>13</v>
      </c>
      <c r="H632">
        <v>2000</v>
      </c>
      <c r="I632">
        <v>0</v>
      </c>
      <c r="J632" t="str">
        <f>_xlfn.XLOOKUP(tblOrders[[#This Row],[ProductID]],Products!$A$2:$A$9,Products!$B$2:$B$9,"Unknown")</f>
        <v>Headset</v>
      </c>
      <c r="K632" t="str">
        <f>_xlfn.XLOOKUP(tblOrders[[#This Row],[ProductID]],Products!$A$2:$A$9,Products!$C$2:$C$9,"Unknown")</f>
        <v>Accessories</v>
      </c>
      <c r="L632">
        <f>_xlfn.XLOOKUP(tblOrders[[#This Row],[ProductID]],Products!$A$2:$A$9,Products!$D$2:$D$9,0)</f>
        <v>1300</v>
      </c>
      <c r="M632">
        <f>tblOrders[[#This Row],[Quantity]]*tblOrders[[#This Row],[UnitPrice]]*(1-tblOrders[[#This Row],[Discount]])</f>
        <v>26000</v>
      </c>
      <c r="N632">
        <f>tblOrders[[#This Row],[Quantity]]*tblOrders[[#This Row],[UnitCost]]</f>
        <v>16900</v>
      </c>
      <c r="O632">
        <f>tblOrders[[#This Row],[Revenue]]-tblOrders[[#This Row],[Cost]]</f>
        <v>9100</v>
      </c>
      <c r="P632" t="str">
        <f>TEXT(tblOrders[[#This Row],[OrderDate]],"mmm")</f>
        <v>Feb</v>
      </c>
    </row>
    <row r="633" spans="1:16" x14ac:dyDescent="0.25">
      <c r="A633" t="s">
        <v>236</v>
      </c>
      <c r="B633" s="2">
        <v>46015</v>
      </c>
      <c r="C633" t="s">
        <v>73</v>
      </c>
      <c r="D633" t="s">
        <v>11</v>
      </c>
      <c r="E633" t="s">
        <v>12</v>
      </c>
      <c r="F633" t="s">
        <v>23</v>
      </c>
      <c r="G633">
        <v>8</v>
      </c>
      <c r="H633">
        <v>900</v>
      </c>
      <c r="I633">
        <v>0.1</v>
      </c>
      <c r="J633" t="str">
        <f>_xlfn.XLOOKUP(tblOrders[[#This Row],[ProductID]],Products!$A$2:$A$9,Products!$B$2:$B$9,"Unknown")</f>
        <v>Keyboard</v>
      </c>
      <c r="K633" t="str">
        <f>_xlfn.XLOOKUP(tblOrders[[#This Row],[ProductID]],Products!$A$2:$A$9,Products!$C$2:$C$9,"Unknown")</f>
        <v>Accessories</v>
      </c>
      <c r="L633">
        <f>_xlfn.XLOOKUP(tblOrders[[#This Row],[ProductID]],Products!$A$2:$A$9,Products!$D$2:$D$9,0)</f>
        <v>600</v>
      </c>
      <c r="M633">
        <f>tblOrders[[#This Row],[Quantity]]*tblOrders[[#This Row],[UnitPrice]]*(1-tblOrders[[#This Row],[Discount]])</f>
        <v>6480</v>
      </c>
      <c r="N633">
        <f>tblOrders[[#This Row],[Quantity]]*tblOrders[[#This Row],[UnitCost]]</f>
        <v>4800</v>
      </c>
      <c r="O633">
        <f>tblOrders[[#This Row],[Revenue]]-tblOrders[[#This Row],[Cost]]</f>
        <v>1680</v>
      </c>
      <c r="P633" t="str">
        <f>TEXT(tblOrders[[#This Row],[OrderDate]],"mmm")</f>
        <v>Dec</v>
      </c>
    </row>
    <row r="634" spans="1:16" x14ac:dyDescent="0.25">
      <c r="A634" t="s">
        <v>344</v>
      </c>
      <c r="B634" s="2">
        <v>45973</v>
      </c>
      <c r="C634" t="s">
        <v>38</v>
      </c>
      <c r="D634" t="s">
        <v>21</v>
      </c>
      <c r="E634" t="s">
        <v>22</v>
      </c>
      <c r="F634" t="s">
        <v>43</v>
      </c>
      <c r="G634">
        <v>3</v>
      </c>
      <c r="H634">
        <v>1500</v>
      </c>
      <c r="I634">
        <v>0.05</v>
      </c>
      <c r="J634" t="str">
        <f>_xlfn.XLOOKUP(tblOrders[[#This Row],[ProductID]],Products!$A$2:$A$9,Products!$B$2:$B$9,"Unknown")</f>
        <v>Webcam</v>
      </c>
      <c r="K634" t="str">
        <f>_xlfn.XLOOKUP(tblOrders[[#This Row],[ProductID]],Products!$A$2:$A$9,Products!$C$2:$C$9,"Unknown")</f>
        <v>Accessories</v>
      </c>
      <c r="L634">
        <f>_xlfn.XLOOKUP(tblOrders[[#This Row],[ProductID]],Products!$A$2:$A$9,Products!$D$2:$D$9,0)</f>
        <v>980</v>
      </c>
      <c r="M634">
        <f>tblOrders[[#This Row],[Quantity]]*tblOrders[[#This Row],[UnitPrice]]*(1-tblOrders[[#This Row],[Discount]])</f>
        <v>4275</v>
      </c>
      <c r="N634">
        <f>tblOrders[[#This Row],[Quantity]]*tblOrders[[#This Row],[UnitCost]]</f>
        <v>2940</v>
      </c>
      <c r="O634">
        <f>tblOrders[[#This Row],[Revenue]]-tblOrders[[#This Row],[Cost]]</f>
        <v>1335</v>
      </c>
      <c r="P634" t="str">
        <f>TEXT(tblOrders[[#This Row],[OrderDate]],"mmm")</f>
        <v>Nov</v>
      </c>
    </row>
    <row r="635" spans="1:16" x14ac:dyDescent="0.25">
      <c r="A635" t="s">
        <v>366</v>
      </c>
      <c r="B635" s="2">
        <v>45946</v>
      </c>
      <c r="C635" t="s">
        <v>261</v>
      </c>
      <c r="D635" t="s">
        <v>16</v>
      </c>
      <c r="E635" t="s">
        <v>33</v>
      </c>
      <c r="F635" t="s">
        <v>69</v>
      </c>
      <c r="G635">
        <v>15</v>
      </c>
      <c r="H635">
        <v>12000</v>
      </c>
      <c r="I635">
        <v>0.05</v>
      </c>
      <c r="J635" t="str">
        <f>_xlfn.XLOOKUP(tblOrders[[#This Row],[ProductID]],Products!$A$2:$A$9,Products!$B$2:$B$9,"Unknown")</f>
        <v>Monitor</v>
      </c>
      <c r="K635" t="str">
        <f>_xlfn.XLOOKUP(tblOrders[[#This Row],[ProductID]],Products!$A$2:$A$9,Products!$C$2:$C$9,"Unknown")</f>
        <v>Electronics</v>
      </c>
      <c r="L635">
        <f>_xlfn.XLOOKUP(tblOrders[[#This Row],[ProductID]],Products!$A$2:$A$9,Products!$D$2:$D$9,0)</f>
        <v>9000</v>
      </c>
      <c r="M635">
        <f>tblOrders[[#This Row],[Quantity]]*tblOrders[[#This Row],[UnitPrice]]*(1-tblOrders[[#This Row],[Discount]])</f>
        <v>171000</v>
      </c>
      <c r="N635">
        <f>tblOrders[[#This Row],[Quantity]]*tblOrders[[#This Row],[UnitCost]]</f>
        <v>135000</v>
      </c>
      <c r="O635">
        <f>tblOrders[[#This Row],[Revenue]]-tblOrders[[#This Row],[Cost]]</f>
        <v>36000</v>
      </c>
      <c r="P635" t="str">
        <f>TEXT(tblOrders[[#This Row],[OrderDate]],"mmm")</f>
        <v>Oct</v>
      </c>
    </row>
    <row r="636" spans="1:16" x14ac:dyDescent="0.25">
      <c r="A636" t="s">
        <v>584</v>
      </c>
      <c r="B636" s="2">
        <v>45878</v>
      </c>
      <c r="C636" t="s">
        <v>175</v>
      </c>
      <c r="D636" t="s">
        <v>21</v>
      </c>
      <c r="E636" t="s">
        <v>28</v>
      </c>
      <c r="F636" t="s">
        <v>64</v>
      </c>
      <c r="G636">
        <v>4</v>
      </c>
      <c r="H636">
        <v>500</v>
      </c>
      <c r="I636">
        <v>0.15</v>
      </c>
      <c r="J636" t="str">
        <f>_xlfn.XLOOKUP(tblOrders[[#This Row],[ProductID]],Products!$A$2:$A$9,Products!$B$2:$B$9,"Unknown")</f>
        <v>Mouse</v>
      </c>
      <c r="K636" t="str">
        <f>_xlfn.XLOOKUP(tblOrders[[#This Row],[ProductID]],Products!$A$2:$A$9,Products!$C$2:$C$9,"Unknown")</f>
        <v>Accessories</v>
      </c>
      <c r="L636">
        <f>_xlfn.XLOOKUP(tblOrders[[#This Row],[ProductID]],Products!$A$2:$A$9,Products!$D$2:$D$9,0)</f>
        <v>320</v>
      </c>
      <c r="M636">
        <f>tblOrders[[#This Row],[Quantity]]*tblOrders[[#This Row],[UnitPrice]]*(1-tblOrders[[#This Row],[Discount]])</f>
        <v>1700</v>
      </c>
      <c r="N636">
        <f>tblOrders[[#This Row],[Quantity]]*tblOrders[[#This Row],[UnitCost]]</f>
        <v>1280</v>
      </c>
      <c r="O636">
        <f>tblOrders[[#This Row],[Revenue]]-tblOrders[[#This Row],[Cost]]</f>
        <v>420</v>
      </c>
      <c r="P636" t="str">
        <f>TEXT(tblOrders[[#This Row],[OrderDate]],"mmm")</f>
        <v>Aug</v>
      </c>
    </row>
    <row r="637" spans="1:16" x14ac:dyDescent="0.25">
      <c r="A637" t="s">
        <v>189</v>
      </c>
      <c r="B637" s="2">
        <v>45699</v>
      </c>
      <c r="C637" t="s">
        <v>82</v>
      </c>
      <c r="D637" t="s">
        <v>39</v>
      </c>
      <c r="E637" t="s">
        <v>40</v>
      </c>
      <c r="F637" t="s">
        <v>43</v>
      </c>
      <c r="G637">
        <v>12</v>
      </c>
      <c r="H637">
        <v>1500</v>
      </c>
      <c r="I637">
        <v>0</v>
      </c>
      <c r="J637" t="str">
        <f>_xlfn.XLOOKUP(tblOrders[[#This Row],[ProductID]],Products!$A$2:$A$9,Products!$B$2:$B$9,"Unknown")</f>
        <v>Webcam</v>
      </c>
      <c r="K637" t="str">
        <f>_xlfn.XLOOKUP(tblOrders[[#This Row],[ProductID]],Products!$A$2:$A$9,Products!$C$2:$C$9,"Unknown")</f>
        <v>Accessories</v>
      </c>
      <c r="L637">
        <f>_xlfn.XLOOKUP(tblOrders[[#This Row],[ProductID]],Products!$A$2:$A$9,Products!$D$2:$D$9,0)</f>
        <v>980</v>
      </c>
      <c r="M637">
        <f>tblOrders[[#This Row],[Quantity]]*tblOrders[[#This Row],[UnitPrice]]*(1-tblOrders[[#This Row],[Discount]])</f>
        <v>18000</v>
      </c>
      <c r="N637">
        <f>tblOrders[[#This Row],[Quantity]]*tblOrders[[#This Row],[UnitCost]]</f>
        <v>11760</v>
      </c>
      <c r="O637">
        <f>tblOrders[[#This Row],[Revenue]]-tblOrders[[#This Row],[Cost]]</f>
        <v>6240</v>
      </c>
      <c r="P637" t="str">
        <f>TEXT(tblOrders[[#This Row],[OrderDate]],"mmm")</f>
        <v>Feb</v>
      </c>
    </row>
    <row r="638" spans="1:16" x14ac:dyDescent="0.25">
      <c r="A638" t="s">
        <v>681</v>
      </c>
      <c r="B638" s="2">
        <v>45675</v>
      </c>
      <c r="C638" t="s">
        <v>132</v>
      </c>
      <c r="D638" t="s">
        <v>39</v>
      </c>
      <c r="E638" t="s">
        <v>40</v>
      </c>
      <c r="F638" t="s">
        <v>43</v>
      </c>
      <c r="G638">
        <v>4</v>
      </c>
      <c r="H638">
        <v>1500</v>
      </c>
      <c r="I638">
        <v>0</v>
      </c>
      <c r="J638" t="str">
        <f>_xlfn.XLOOKUP(tblOrders[[#This Row],[ProductID]],Products!$A$2:$A$9,Products!$B$2:$B$9,"Unknown")</f>
        <v>Webcam</v>
      </c>
      <c r="K638" t="str">
        <f>_xlfn.XLOOKUP(tblOrders[[#This Row],[ProductID]],Products!$A$2:$A$9,Products!$C$2:$C$9,"Unknown")</f>
        <v>Accessories</v>
      </c>
      <c r="L638">
        <f>_xlfn.XLOOKUP(tblOrders[[#This Row],[ProductID]],Products!$A$2:$A$9,Products!$D$2:$D$9,0)</f>
        <v>980</v>
      </c>
      <c r="M638">
        <f>tblOrders[[#This Row],[Quantity]]*tblOrders[[#This Row],[UnitPrice]]*(1-tblOrders[[#This Row],[Discount]])</f>
        <v>6000</v>
      </c>
      <c r="N638">
        <f>tblOrders[[#This Row],[Quantity]]*tblOrders[[#This Row],[UnitCost]]</f>
        <v>3920</v>
      </c>
      <c r="O638">
        <f>tblOrders[[#This Row],[Revenue]]-tblOrders[[#This Row],[Cost]]</f>
        <v>2080</v>
      </c>
      <c r="P638" t="str">
        <f>TEXT(tblOrders[[#This Row],[OrderDate]],"mmm")</f>
        <v>Jan</v>
      </c>
    </row>
    <row r="639" spans="1:16" x14ac:dyDescent="0.25">
      <c r="A639" t="s">
        <v>509</v>
      </c>
      <c r="B639" s="2">
        <v>45954</v>
      </c>
      <c r="C639" t="s">
        <v>78</v>
      </c>
      <c r="D639" t="s">
        <v>39</v>
      </c>
      <c r="E639" t="s">
        <v>76</v>
      </c>
      <c r="F639" t="s">
        <v>43</v>
      </c>
      <c r="G639">
        <v>2</v>
      </c>
      <c r="H639">
        <v>1500</v>
      </c>
      <c r="I639">
        <v>0.05</v>
      </c>
      <c r="J639" t="str">
        <f>_xlfn.XLOOKUP(tblOrders[[#This Row],[ProductID]],Products!$A$2:$A$9,Products!$B$2:$B$9,"Unknown")</f>
        <v>Webcam</v>
      </c>
      <c r="K639" t="str">
        <f>_xlfn.XLOOKUP(tblOrders[[#This Row],[ProductID]],Products!$A$2:$A$9,Products!$C$2:$C$9,"Unknown")</f>
        <v>Accessories</v>
      </c>
      <c r="L639">
        <f>_xlfn.XLOOKUP(tblOrders[[#This Row],[ProductID]],Products!$A$2:$A$9,Products!$D$2:$D$9,0)</f>
        <v>980</v>
      </c>
      <c r="M639">
        <f>tblOrders[[#This Row],[Quantity]]*tblOrders[[#This Row],[UnitPrice]]*(1-tblOrders[[#This Row],[Discount]])</f>
        <v>2850</v>
      </c>
      <c r="N639">
        <f>tblOrders[[#This Row],[Quantity]]*tblOrders[[#This Row],[UnitCost]]</f>
        <v>1960</v>
      </c>
      <c r="O639">
        <f>tblOrders[[#This Row],[Revenue]]-tblOrders[[#This Row],[Cost]]</f>
        <v>890</v>
      </c>
      <c r="P639" t="str">
        <f>TEXT(tblOrders[[#This Row],[OrderDate]],"mmm")</f>
        <v>Oct</v>
      </c>
    </row>
    <row r="640" spans="1:16" x14ac:dyDescent="0.25">
      <c r="A640" t="s">
        <v>832</v>
      </c>
      <c r="B640" s="2">
        <v>45940</v>
      </c>
      <c r="C640" t="s">
        <v>160</v>
      </c>
      <c r="D640" t="s">
        <v>21</v>
      </c>
      <c r="E640" t="s">
        <v>28</v>
      </c>
      <c r="F640" t="s">
        <v>69</v>
      </c>
      <c r="G640">
        <v>6</v>
      </c>
      <c r="H640">
        <v>12000</v>
      </c>
      <c r="I640">
        <v>0.05</v>
      </c>
      <c r="J640" t="str">
        <f>_xlfn.XLOOKUP(tblOrders[[#This Row],[ProductID]],Products!$A$2:$A$9,Products!$B$2:$B$9,"Unknown")</f>
        <v>Monitor</v>
      </c>
      <c r="K640" t="str">
        <f>_xlfn.XLOOKUP(tblOrders[[#This Row],[ProductID]],Products!$A$2:$A$9,Products!$C$2:$C$9,"Unknown")</f>
        <v>Electronics</v>
      </c>
      <c r="L640">
        <f>_xlfn.XLOOKUP(tblOrders[[#This Row],[ProductID]],Products!$A$2:$A$9,Products!$D$2:$D$9,0)</f>
        <v>9000</v>
      </c>
      <c r="M640">
        <f>tblOrders[[#This Row],[Quantity]]*tblOrders[[#This Row],[UnitPrice]]*(1-tblOrders[[#This Row],[Discount]])</f>
        <v>68400</v>
      </c>
      <c r="N640">
        <f>tblOrders[[#This Row],[Quantity]]*tblOrders[[#This Row],[UnitCost]]</f>
        <v>54000</v>
      </c>
      <c r="O640">
        <f>tblOrders[[#This Row],[Revenue]]-tblOrders[[#This Row],[Cost]]</f>
        <v>14400</v>
      </c>
      <c r="P640" t="str">
        <f>TEXT(tblOrders[[#This Row],[OrderDate]],"mmm")</f>
        <v>Oct</v>
      </c>
    </row>
    <row r="641" spans="1:16" x14ac:dyDescent="0.25">
      <c r="A641" t="s">
        <v>720</v>
      </c>
      <c r="B641" s="2">
        <v>45926</v>
      </c>
      <c r="C641" t="s">
        <v>61</v>
      </c>
      <c r="D641" t="s">
        <v>39</v>
      </c>
      <c r="E641" t="s">
        <v>40</v>
      </c>
      <c r="F641" t="s">
        <v>69</v>
      </c>
      <c r="G641">
        <v>10</v>
      </c>
      <c r="H641">
        <v>12000</v>
      </c>
      <c r="I641">
        <v>0</v>
      </c>
      <c r="J641" t="str">
        <f>_xlfn.XLOOKUP(tblOrders[[#This Row],[ProductID]],Products!$A$2:$A$9,Products!$B$2:$B$9,"Unknown")</f>
        <v>Monitor</v>
      </c>
      <c r="K641" t="str">
        <f>_xlfn.XLOOKUP(tblOrders[[#This Row],[ProductID]],Products!$A$2:$A$9,Products!$C$2:$C$9,"Unknown")</f>
        <v>Electronics</v>
      </c>
      <c r="L641">
        <f>_xlfn.XLOOKUP(tblOrders[[#This Row],[ProductID]],Products!$A$2:$A$9,Products!$D$2:$D$9,0)</f>
        <v>9000</v>
      </c>
      <c r="M641">
        <f>tblOrders[[#This Row],[Quantity]]*tblOrders[[#This Row],[UnitPrice]]*(1-tblOrders[[#This Row],[Discount]])</f>
        <v>120000</v>
      </c>
      <c r="N641">
        <f>tblOrders[[#This Row],[Quantity]]*tblOrders[[#This Row],[UnitCost]]</f>
        <v>90000</v>
      </c>
      <c r="O641">
        <f>tblOrders[[#This Row],[Revenue]]-tblOrders[[#This Row],[Cost]]</f>
        <v>30000</v>
      </c>
      <c r="P641" t="str">
        <f>TEXT(tblOrders[[#This Row],[OrderDate]],"mmm")</f>
        <v>Sep</v>
      </c>
    </row>
    <row r="642" spans="1:16" x14ac:dyDescent="0.25">
      <c r="A642" t="s">
        <v>1024</v>
      </c>
      <c r="B642" s="2">
        <v>46020</v>
      </c>
      <c r="C642" t="s">
        <v>45</v>
      </c>
      <c r="D642" t="s">
        <v>11</v>
      </c>
      <c r="E642" t="s">
        <v>46</v>
      </c>
      <c r="F642" t="s">
        <v>55</v>
      </c>
      <c r="G642">
        <v>8</v>
      </c>
      <c r="H642">
        <v>8000</v>
      </c>
      <c r="I642">
        <v>0.15</v>
      </c>
      <c r="J642" t="str">
        <f>_xlfn.XLOOKUP(tblOrders[[#This Row],[ProductID]],Products!$A$2:$A$9,Products!$B$2:$B$9,"Unknown")</f>
        <v>Printer</v>
      </c>
      <c r="K642" t="str">
        <f>_xlfn.XLOOKUP(tblOrders[[#This Row],[ProductID]],Products!$A$2:$A$9,Products!$C$2:$C$9,"Unknown")</f>
        <v>Electronics</v>
      </c>
      <c r="L642">
        <f>_xlfn.XLOOKUP(tblOrders[[#This Row],[ProductID]],Products!$A$2:$A$9,Products!$D$2:$D$9,0)</f>
        <v>6200</v>
      </c>
      <c r="M642">
        <f>tblOrders[[#This Row],[Quantity]]*tblOrders[[#This Row],[UnitPrice]]*(1-tblOrders[[#This Row],[Discount]])</f>
        <v>54400</v>
      </c>
      <c r="N642">
        <f>tblOrders[[#This Row],[Quantity]]*tblOrders[[#This Row],[UnitCost]]</f>
        <v>49600</v>
      </c>
      <c r="O642">
        <f>tblOrders[[#This Row],[Revenue]]-tblOrders[[#This Row],[Cost]]</f>
        <v>4800</v>
      </c>
      <c r="P642" t="str">
        <f>TEXT(tblOrders[[#This Row],[OrderDate]],"mmm")</f>
        <v>Dec</v>
      </c>
    </row>
    <row r="643" spans="1:16" x14ac:dyDescent="0.25">
      <c r="A643" t="s">
        <v>996</v>
      </c>
      <c r="B643" s="2">
        <v>45994</v>
      </c>
      <c r="C643" t="s">
        <v>78</v>
      </c>
      <c r="D643" t="s">
        <v>16</v>
      </c>
      <c r="E643" t="s">
        <v>17</v>
      </c>
      <c r="F643" t="s">
        <v>23</v>
      </c>
      <c r="G643">
        <v>11</v>
      </c>
      <c r="H643">
        <v>900</v>
      </c>
      <c r="I643">
        <v>0</v>
      </c>
      <c r="J643" t="str">
        <f>_xlfn.XLOOKUP(tblOrders[[#This Row],[ProductID]],Products!$A$2:$A$9,Products!$B$2:$B$9,"Unknown")</f>
        <v>Keyboard</v>
      </c>
      <c r="K643" t="str">
        <f>_xlfn.XLOOKUP(tblOrders[[#This Row],[ProductID]],Products!$A$2:$A$9,Products!$C$2:$C$9,"Unknown")</f>
        <v>Accessories</v>
      </c>
      <c r="L643">
        <f>_xlfn.XLOOKUP(tblOrders[[#This Row],[ProductID]],Products!$A$2:$A$9,Products!$D$2:$D$9,0)</f>
        <v>600</v>
      </c>
      <c r="M643">
        <f>tblOrders[[#This Row],[Quantity]]*tblOrders[[#This Row],[UnitPrice]]*(1-tblOrders[[#This Row],[Discount]])</f>
        <v>9900</v>
      </c>
      <c r="N643">
        <f>tblOrders[[#This Row],[Quantity]]*tblOrders[[#This Row],[UnitCost]]</f>
        <v>6600</v>
      </c>
      <c r="O643">
        <f>tblOrders[[#This Row],[Revenue]]-tblOrders[[#This Row],[Cost]]</f>
        <v>3300</v>
      </c>
      <c r="P643" t="str">
        <f>TEXT(tblOrders[[#This Row],[OrderDate]],"mmm")</f>
        <v>Dec</v>
      </c>
    </row>
    <row r="644" spans="1:16" x14ac:dyDescent="0.25">
      <c r="A644" t="s">
        <v>821</v>
      </c>
      <c r="B644" s="2">
        <v>45765</v>
      </c>
      <c r="C644" t="s">
        <v>261</v>
      </c>
      <c r="D644" t="s">
        <v>21</v>
      </c>
      <c r="E644" t="s">
        <v>22</v>
      </c>
      <c r="F644" t="s">
        <v>55</v>
      </c>
      <c r="G644">
        <v>2</v>
      </c>
      <c r="H644">
        <v>8000</v>
      </c>
      <c r="I644">
        <v>0</v>
      </c>
      <c r="J644" t="str">
        <f>_xlfn.XLOOKUP(tblOrders[[#This Row],[ProductID]],Products!$A$2:$A$9,Products!$B$2:$B$9,"Unknown")</f>
        <v>Printer</v>
      </c>
      <c r="K644" t="str">
        <f>_xlfn.XLOOKUP(tblOrders[[#This Row],[ProductID]],Products!$A$2:$A$9,Products!$C$2:$C$9,"Unknown")</f>
        <v>Electronics</v>
      </c>
      <c r="L644">
        <f>_xlfn.XLOOKUP(tblOrders[[#This Row],[ProductID]],Products!$A$2:$A$9,Products!$D$2:$D$9,0)</f>
        <v>6200</v>
      </c>
      <c r="M644">
        <f>tblOrders[[#This Row],[Quantity]]*tblOrders[[#This Row],[UnitPrice]]*(1-tblOrders[[#This Row],[Discount]])</f>
        <v>16000</v>
      </c>
      <c r="N644">
        <f>tblOrders[[#This Row],[Quantity]]*tblOrders[[#This Row],[UnitCost]]</f>
        <v>12400</v>
      </c>
      <c r="O644">
        <f>tblOrders[[#This Row],[Revenue]]-tblOrders[[#This Row],[Cost]]</f>
        <v>3600</v>
      </c>
      <c r="P644" t="str">
        <f>TEXT(tblOrders[[#This Row],[OrderDate]],"mmm")</f>
        <v>Apr</v>
      </c>
    </row>
    <row r="645" spans="1:16" x14ac:dyDescent="0.25">
      <c r="A645" t="s">
        <v>345</v>
      </c>
      <c r="B645" s="2">
        <v>45792</v>
      </c>
      <c r="C645" t="s">
        <v>82</v>
      </c>
      <c r="D645" t="s">
        <v>21</v>
      </c>
      <c r="E645" t="s">
        <v>28</v>
      </c>
      <c r="F645" t="s">
        <v>43</v>
      </c>
      <c r="G645">
        <v>5</v>
      </c>
      <c r="H645">
        <v>1500</v>
      </c>
      <c r="I645">
        <v>0.15</v>
      </c>
      <c r="J645" t="str">
        <f>_xlfn.XLOOKUP(tblOrders[[#This Row],[ProductID]],Products!$A$2:$A$9,Products!$B$2:$B$9,"Unknown")</f>
        <v>Webcam</v>
      </c>
      <c r="K645" t="str">
        <f>_xlfn.XLOOKUP(tblOrders[[#This Row],[ProductID]],Products!$A$2:$A$9,Products!$C$2:$C$9,"Unknown")</f>
        <v>Accessories</v>
      </c>
      <c r="L645">
        <f>_xlfn.XLOOKUP(tblOrders[[#This Row],[ProductID]],Products!$A$2:$A$9,Products!$D$2:$D$9,0)</f>
        <v>980</v>
      </c>
      <c r="M645">
        <f>tblOrders[[#This Row],[Quantity]]*tblOrders[[#This Row],[UnitPrice]]*(1-tblOrders[[#This Row],[Discount]])</f>
        <v>6375</v>
      </c>
      <c r="N645">
        <f>tblOrders[[#This Row],[Quantity]]*tblOrders[[#This Row],[UnitCost]]</f>
        <v>4900</v>
      </c>
      <c r="O645">
        <f>tblOrders[[#This Row],[Revenue]]-tblOrders[[#This Row],[Cost]]</f>
        <v>1475</v>
      </c>
      <c r="P645" t="str">
        <f>TEXT(tblOrders[[#This Row],[OrderDate]],"mmm")</f>
        <v>May</v>
      </c>
    </row>
    <row r="646" spans="1:16" x14ac:dyDescent="0.25">
      <c r="A646" t="s">
        <v>413</v>
      </c>
      <c r="B646" s="2">
        <v>45723</v>
      </c>
      <c r="C646" t="s">
        <v>207</v>
      </c>
      <c r="D646" t="s">
        <v>16</v>
      </c>
      <c r="E646" t="s">
        <v>33</v>
      </c>
      <c r="F646" t="s">
        <v>23</v>
      </c>
      <c r="G646">
        <v>9</v>
      </c>
      <c r="H646">
        <v>900</v>
      </c>
      <c r="I646">
        <v>0.1</v>
      </c>
      <c r="J646" t="str">
        <f>_xlfn.XLOOKUP(tblOrders[[#This Row],[ProductID]],Products!$A$2:$A$9,Products!$B$2:$B$9,"Unknown")</f>
        <v>Keyboard</v>
      </c>
      <c r="K646" t="str">
        <f>_xlfn.XLOOKUP(tblOrders[[#This Row],[ProductID]],Products!$A$2:$A$9,Products!$C$2:$C$9,"Unknown")</f>
        <v>Accessories</v>
      </c>
      <c r="L646">
        <f>_xlfn.XLOOKUP(tblOrders[[#This Row],[ProductID]],Products!$A$2:$A$9,Products!$D$2:$D$9,0)</f>
        <v>600</v>
      </c>
      <c r="M646">
        <f>tblOrders[[#This Row],[Quantity]]*tblOrders[[#This Row],[UnitPrice]]*(1-tblOrders[[#This Row],[Discount]])</f>
        <v>7290</v>
      </c>
      <c r="N646">
        <f>tblOrders[[#This Row],[Quantity]]*tblOrders[[#This Row],[UnitCost]]</f>
        <v>5400</v>
      </c>
      <c r="O646">
        <f>tblOrders[[#This Row],[Revenue]]-tblOrders[[#This Row],[Cost]]</f>
        <v>1890</v>
      </c>
      <c r="P646" t="str">
        <f>TEXT(tblOrders[[#This Row],[OrderDate]],"mmm")</f>
        <v>Mar</v>
      </c>
    </row>
    <row r="647" spans="1:16" x14ac:dyDescent="0.25">
      <c r="A647" t="s">
        <v>1047</v>
      </c>
      <c r="B647" s="2">
        <v>45985</v>
      </c>
      <c r="C647" t="s">
        <v>144</v>
      </c>
      <c r="D647" t="s">
        <v>11</v>
      </c>
      <c r="E647" t="s">
        <v>12</v>
      </c>
      <c r="F647" t="s">
        <v>69</v>
      </c>
      <c r="G647">
        <v>5</v>
      </c>
      <c r="H647">
        <v>12000</v>
      </c>
      <c r="I647">
        <v>0</v>
      </c>
      <c r="J647" t="str">
        <f>_xlfn.XLOOKUP(tblOrders[[#This Row],[ProductID]],Products!$A$2:$A$9,Products!$B$2:$B$9,"Unknown")</f>
        <v>Monitor</v>
      </c>
      <c r="K647" t="str">
        <f>_xlfn.XLOOKUP(tblOrders[[#This Row],[ProductID]],Products!$A$2:$A$9,Products!$C$2:$C$9,"Unknown")</f>
        <v>Electronics</v>
      </c>
      <c r="L647">
        <f>_xlfn.XLOOKUP(tblOrders[[#This Row],[ProductID]],Products!$A$2:$A$9,Products!$D$2:$D$9,0)</f>
        <v>9000</v>
      </c>
      <c r="M647">
        <f>tblOrders[[#This Row],[Quantity]]*tblOrders[[#This Row],[UnitPrice]]*(1-tblOrders[[#This Row],[Discount]])</f>
        <v>60000</v>
      </c>
      <c r="N647">
        <f>tblOrders[[#This Row],[Quantity]]*tblOrders[[#This Row],[UnitCost]]</f>
        <v>45000</v>
      </c>
      <c r="O647">
        <f>tblOrders[[#This Row],[Revenue]]-tblOrders[[#This Row],[Cost]]</f>
        <v>15000</v>
      </c>
      <c r="P647" t="str">
        <f>TEXT(tblOrders[[#This Row],[OrderDate]],"mmm")</f>
        <v>Nov</v>
      </c>
    </row>
    <row r="648" spans="1:16" x14ac:dyDescent="0.25">
      <c r="A648" t="s">
        <v>793</v>
      </c>
      <c r="B648" s="2">
        <v>45717</v>
      </c>
      <c r="C648" t="s">
        <v>57</v>
      </c>
      <c r="D648" t="s">
        <v>21</v>
      </c>
      <c r="E648" t="s">
        <v>28</v>
      </c>
      <c r="F648" t="s">
        <v>13</v>
      </c>
      <c r="G648">
        <v>14</v>
      </c>
      <c r="H648">
        <v>2000</v>
      </c>
      <c r="I648">
        <v>0.15</v>
      </c>
      <c r="J648" t="str">
        <f>_xlfn.XLOOKUP(tblOrders[[#This Row],[ProductID]],Products!$A$2:$A$9,Products!$B$2:$B$9,"Unknown")</f>
        <v>Headset</v>
      </c>
      <c r="K648" t="str">
        <f>_xlfn.XLOOKUP(tblOrders[[#This Row],[ProductID]],Products!$A$2:$A$9,Products!$C$2:$C$9,"Unknown")</f>
        <v>Accessories</v>
      </c>
      <c r="L648">
        <f>_xlfn.XLOOKUP(tblOrders[[#This Row],[ProductID]],Products!$A$2:$A$9,Products!$D$2:$D$9,0)</f>
        <v>1300</v>
      </c>
      <c r="M648">
        <f>tblOrders[[#This Row],[Quantity]]*tblOrders[[#This Row],[UnitPrice]]*(1-tblOrders[[#This Row],[Discount]])</f>
        <v>23800</v>
      </c>
      <c r="N648">
        <f>tblOrders[[#This Row],[Quantity]]*tblOrders[[#This Row],[UnitCost]]</f>
        <v>18200</v>
      </c>
      <c r="O648">
        <f>tblOrders[[#This Row],[Revenue]]-tblOrders[[#This Row],[Cost]]</f>
        <v>5600</v>
      </c>
      <c r="P648" t="str">
        <f>TEXT(tblOrders[[#This Row],[OrderDate]],"mmm")</f>
        <v>Mar</v>
      </c>
    </row>
    <row r="649" spans="1:16" x14ac:dyDescent="0.25">
      <c r="A649" t="s">
        <v>225</v>
      </c>
      <c r="B649" s="2">
        <v>45948</v>
      </c>
      <c r="C649" t="s">
        <v>1102</v>
      </c>
      <c r="D649" t="s">
        <v>21</v>
      </c>
      <c r="E649" t="s">
        <v>28</v>
      </c>
      <c r="F649" t="s">
        <v>34</v>
      </c>
      <c r="G649">
        <v>1</v>
      </c>
      <c r="H649">
        <v>55000</v>
      </c>
      <c r="I649">
        <v>0.05</v>
      </c>
      <c r="J649" t="str">
        <f>_xlfn.XLOOKUP(tblOrders[[#This Row],[ProductID]],Products!$A$2:$A$9,Products!$B$2:$B$9,"Unknown")</f>
        <v>Laptop</v>
      </c>
      <c r="K649" t="str">
        <f>_xlfn.XLOOKUP(tblOrders[[#This Row],[ProductID]],Products!$A$2:$A$9,Products!$C$2:$C$9,"Unknown")</f>
        <v>Electronics</v>
      </c>
      <c r="L649">
        <f>_xlfn.XLOOKUP(tblOrders[[#This Row],[ProductID]],Products!$A$2:$A$9,Products!$D$2:$D$9,0)</f>
        <v>41000</v>
      </c>
      <c r="M649">
        <f>tblOrders[[#This Row],[Quantity]]*tblOrders[[#This Row],[UnitPrice]]*(1-tblOrders[[#This Row],[Discount]])</f>
        <v>52250</v>
      </c>
      <c r="N649">
        <f>tblOrders[[#This Row],[Quantity]]*tblOrders[[#This Row],[UnitCost]]</f>
        <v>41000</v>
      </c>
      <c r="O649">
        <f>tblOrders[[#This Row],[Revenue]]-tblOrders[[#This Row],[Cost]]</f>
        <v>11250</v>
      </c>
      <c r="P649" t="str">
        <f>TEXT(tblOrders[[#This Row],[OrderDate]],"mmm")</f>
        <v>Oct</v>
      </c>
    </row>
    <row r="650" spans="1:16" x14ac:dyDescent="0.25">
      <c r="A650" t="s">
        <v>592</v>
      </c>
      <c r="B650" s="2">
        <v>45682</v>
      </c>
      <c r="C650" t="s">
        <v>115</v>
      </c>
      <c r="D650" t="s">
        <v>39</v>
      </c>
      <c r="E650" t="s">
        <v>76</v>
      </c>
      <c r="F650" t="s">
        <v>55</v>
      </c>
      <c r="G650">
        <v>11</v>
      </c>
      <c r="H650">
        <v>8000</v>
      </c>
      <c r="I650">
        <v>0</v>
      </c>
      <c r="J650" t="str">
        <f>_xlfn.XLOOKUP(tblOrders[[#This Row],[ProductID]],Products!$A$2:$A$9,Products!$B$2:$B$9,"Unknown")</f>
        <v>Printer</v>
      </c>
      <c r="K650" t="str">
        <f>_xlfn.XLOOKUP(tblOrders[[#This Row],[ProductID]],Products!$A$2:$A$9,Products!$C$2:$C$9,"Unknown")</f>
        <v>Electronics</v>
      </c>
      <c r="L650">
        <f>_xlfn.XLOOKUP(tblOrders[[#This Row],[ProductID]],Products!$A$2:$A$9,Products!$D$2:$D$9,0)</f>
        <v>6200</v>
      </c>
      <c r="M650">
        <f>tblOrders[[#This Row],[Quantity]]*tblOrders[[#This Row],[UnitPrice]]*(1-tblOrders[[#This Row],[Discount]])</f>
        <v>88000</v>
      </c>
      <c r="N650">
        <f>tblOrders[[#This Row],[Quantity]]*tblOrders[[#This Row],[UnitCost]]</f>
        <v>68200</v>
      </c>
      <c r="O650">
        <f>tblOrders[[#This Row],[Revenue]]-tblOrders[[#This Row],[Cost]]</f>
        <v>19800</v>
      </c>
      <c r="P650" t="str">
        <f>TEXT(tblOrders[[#This Row],[OrderDate]],"mmm")</f>
        <v>Jan</v>
      </c>
    </row>
    <row r="651" spans="1:16" x14ac:dyDescent="0.25">
      <c r="A651" t="s">
        <v>737</v>
      </c>
      <c r="B651" s="2">
        <v>45846</v>
      </c>
      <c r="C651" t="s">
        <v>158</v>
      </c>
      <c r="D651" t="s">
        <v>21</v>
      </c>
      <c r="E651" t="s">
        <v>28</v>
      </c>
      <c r="F651" t="s">
        <v>18</v>
      </c>
      <c r="G651">
        <v>13</v>
      </c>
      <c r="H651">
        <v>18000</v>
      </c>
      <c r="I651">
        <v>0.05</v>
      </c>
      <c r="J651" t="str">
        <f>_xlfn.XLOOKUP(tblOrders[[#This Row],[ProductID]],Products!$A$2:$A$9,Products!$B$2:$B$9,"Unknown")</f>
        <v>Tablet</v>
      </c>
      <c r="K651" t="str">
        <f>_xlfn.XLOOKUP(tblOrders[[#This Row],[ProductID]],Products!$A$2:$A$9,Products!$C$2:$C$9,"Unknown")</f>
        <v>Electronics</v>
      </c>
      <c r="L651">
        <f>_xlfn.XLOOKUP(tblOrders[[#This Row],[ProductID]],Products!$A$2:$A$9,Products!$D$2:$D$9,0)</f>
        <v>13500</v>
      </c>
      <c r="M651">
        <f>tblOrders[[#This Row],[Quantity]]*tblOrders[[#This Row],[UnitPrice]]*(1-tblOrders[[#This Row],[Discount]])</f>
        <v>222300</v>
      </c>
      <c r="N651">
        <f>tblOrders[[#This Row],[Quantity]]*tblOrders[[#This Row],[UnitCost]]</f>
        <v>175500</v>
      </c>
      <c r="O651">
        <f>tblOrders[[#This Row],[Revenue]]-tblOrders[[#This Row],[Cost]]</f>
        <v>46800</v>
      </c>
      <c r="P651" t="str">
        <f>TEXT(tblOrders[[#This Row],[OrderDate]],"mmm")</f>
        <v>Jul</v>
      </c>
    </row>
    <row r="652" spans="1:16" x14ac:dyDescent="0.25">
      <c r="A652" t="s">
        <v>751</v>
      </c>
      <c r="B652" s="2">
        <v>45894</v>
      </c>
      <c r="C652" t="s">
        <v>85</v>
      </c>
      <c r="D652" t="s">
        <v>11</v>
      </c>
      <c r="E652" t="s">
        <v>12</v>
      </c>
      <c r="F652" t="s">
        <v>69</v>
      </c>
      <c r="G652">
        <v>8</v>
      </c>
      <c r="H652">
        <v>12000</v>
      </c>
      <c r="I652">
        <v>0.05</v>
      </c>
      <c r="J652" t="str">
        <f>_xlfn.XLOOKUP(tblOrders[[#This Row],[ProductID]],Products!$A$2:$A$9,Products!$B$2:$B$9,"Unknown")</f>
        <v>Monitor</v>
      </c>
      <c r="K652" t="str">
        <f>_xlfn.XLOOKUP(tblOrders[[#This Row],[ProductID]],Products!$A$2:$A$9,Products!$C$2:$C$9,"Unknown")</f>
        <v>Electronics</v>
      </c>
      <c r="L652">
        <f>_xlfn.XLOOKUP(tblOrders[[#This Row],[ProductID]],Products!$A$2:$A$9,Products!$D$2:$D$9,0)</f>
        <v>9000</v>
      </c>
      <c r="M652">
        <f>tblOrders[[#This Row],[Quantity]]*tblOrders[[#This Row],[UnitPrice]]*(1-tblOrders[[#This Row],[Discount]])</f>
        <v>91200</v>
      </c>
      <c r="N652">
        <f>tblOrders[[#This Row],[Quantity]]*tblOrders[[#This Row],[UnitCost]]</f>
        <v>72000</v>
      </c>
      <c r="O652">
        <f>tblOrders[[#This Row],[Revenue]]-tblOrders[[#This Row],[Cost]]</f>
        <v>19200</v>
      </c>
      <c r="P652" t="str">
        <f>TEXT(tblOrders[[#This Row],[OrderDate]],"mmm")</f>
        <v>Aug</v>
      </c>
    </row>
    <row r="653" spans="1:16" x14ac:dyDescent="0.25">
      <c r="A653" t="s">
        <v>422</v>
      </c>
      <c r="B653" s="2">
        <v>45738</v>
      </c>
      <c r="C653" t="s">
        <v>138</v>
      </c>
      <c r="D653" t="s">
        <v>21</v>
      </c>
      <c r="E653" t="s">
        <v>22</v>
      </c>
      <c r="F653" t="s">
        <v>13</v>
      </c>
      <c r="G653">
        <v>15</v>
      </c>
      <c r="H653">
        <v>2000</v>
      </c>
      <c r="I653">
        <v>0</v>
      </c>
      <c r="J653" t="str">
        <f>_xlfn.XLOOKUP(tblOrders[[#This Row],[ProductID]],Products!$A$2:$A$9,Products!$B$2:$B$9,"Unknown")</f>
        <v>Headset</v>
      </c>
      <c r="K653" t="str">
        <f>_xlfn.XLOOKUP(tblOrders[[#This Row],[ProductID]],Products!$A$2:$A$9,Products!$C$2:$C$9,"Unknown")</f>
        <v>Accessories</v>
      </c>
      <c r="L653">
        <f>_xlfn.XLOOKUP(tblOrders[[#This Row],[ProductID]],Products!$A$2:$A$9,Products!$D$2:$D$9,0)</f>
        <v>1300</v>
      </c>
      <c r="M653">
        <f>tblOrders[[#This Row],[Quantity]]*tblOrders[[#This Row],[UnitPrice]]*(1-tblOrders[[#This Row],[Discount]])</f>
        <v>30000</v>
      </c>
      <c r="N653">
        <f>tblOrders[[#This Row],[Quantity]]*tblOrders[[#This Row],[UnitCost]]</f>
        <v>19500</v>
      </c>
      <c r="O653">
        <f>tblOrders[[#This Row],[Revenue]]-tblOrders[[#This Row],[Cost]]</f>
        <v>10500</v>
      </c>
      <c r="P653" t="str">
        <f>TEXT(tblOrders[[#This Row],[OrderDate]],"mmm")</f>
        <v>Mar</v>
      </c>
    </row>
    <row r="654" spans="1:16" x14ac:dyDescent="0.25">
      <c r="A654" t="s">
        <v>960</v>
      </c>
      <c r="B654" s="2">
        <v>45728</v>
      </c>
      <c r="C654" t="s">
        <v>82</v>
      </c>
      <c r="D654" t="s">
        <v>11</v>
      </c>
      <c r="E654" t="s">
        <v>12</v>
      </c>
      <c r="F654" t="s">
        <v>13</v>
      </c>
      <c r="G654">
        <v>14</v>
      </c>
      <c r="H654">
        <v>2000</v>
      </c>
      <c r="I654">
        <v>0.15</v>
      </c>
      <c r="J654" t="str">
        <f>_xlfn.XLOOKUP(tblOrders[[#This Row],[ProductID]],Products!$A$2:$A$9,Products!$B$2:$B$9,"Unknown")</f>
        <v>Headset</v>
      </c>
      <c r="K654" t="str">
        <f>_xlfn.XLOOKUP(tblOrders[[#This Row],[ProductID]],Products!$A$2:$A$9,Products!$C$2:$C$9,"Unknown")</f>
        <v>Accessories</v>
      </c>
      <c r="L654">
        <f>_xlfn.XLOOKUP(tblOrders[[#This Row],[ProductID]],Products!$A$2:$A$9,Products!$D$2:$D$9,0)</f>
        <v>1300</v>
      </c>
      <c r="M654">
        <f>tblOrders[[#This Row],[Quantity]]*tblOrders[[#This Row],[UnitPrice]]*(1-tblOrders[[#This Row],[Discount]])</f>
        <v>23800</v>
      </c>
      <c r="N654">
        <f>tblOrders[[#This Row],[Quantity]]*tblOrders[[#This Row],[UnitCost]]</f>
        <v>18200</v>
      </c>
      <c r="O654">
        <f>tblOrders[[#This Row],[Revenue]]-tblOrders[[#This Row],[Cost]]</f>
        <v>5600</v>
      </c>
      <c r="P654" t="str">
        <f>TEXT(tblOrders[[#This Row],[OrderDate]],"mmm")</f>
        <v>Mar</v>
      </c>
    </row>
    <row r="655" spans="1:16" x14ac:dyDescent="0.25">
      <c r="A655" t="s">
        <v>141</v>
      </c>
      <c r="B655" s="2">
        <v>46004</v>
      </c>
      <c r="C655" t="s">
        <v>1102</v>
      </c>
      <c r="D655" t="s">
        <v>21</v>
      </c>
      <c r="E655" t="s">
        <v>22</v>
      </c>
      <c r="F655" t="s">
        <v>69</v>
      </c>
      <c r="G655">
        <v>12</v>
      </c>
      <c r="H655">
        <v>12000</v>
      </c>
      <c r="I655">
        <v>0</v>
      </c>
      <c r="J655" t="str">
        <f>_xlfn.XLOOKUP(tblOrders[[#This Row],[ProductID]],Products!$A$2:$A$9,Products!$B$2:$B$9,"Unknown")</f>
        <v>Monitor</v>
      </c>
      <c r="K655" t="str">
        <f>_xlfn.XLOOKUP(tblOrders[[#This Row],[ProductID]],Products!$A$2:$A$9,Products!$C$2:$C$9,"Unknown")</f>
        <v>Electronics</v>
      </c>
      <c r="L655">
        <f>_xlfn.XLOOKUP(tblOrders[[#This Row],[ProductID]],Products!$A$2:$A$9,Products!$D$2:$D$9,0)</f>
        <v>9000</v>
      </c>
      <c r="M655">
        <f>tblOrders[[#This Row],[Quantity]]*tblOrders[[#This Row],[UnitPrice]]*(1-tblOrders[[#This Row],[Discount]])</f>
        <v>144000</v>
      </c>
      <c r="N655">
        <f>tblOrders[[#This Row],[Quantity]]*tblOrders[[#This Row],[UnitCost]]</f>
        <v>108000</v>
      </c>
      <c r="O655">
        <f>tblOrders[[#This Row],[Revenue]]-tblOrders[[#This Row],[Cost]]</f>
        <v>36000</v>
      </c>
      <c r="P655" t="str">
        <f>TEXT(tblOrders[[#This Row],[OrderDate]],"mmm")</f>
        <v>Dec</v>
      </c>
    </row>
    <row r="656" spans="1:16" x14ac:dyDescent="0.25">
      <c r="A656" t="s">
        <v>815</v>
      </c>
      <c r="B656" s="2">
        <v>45839</v>
      </c>
      <c r="C656" t="s">
        <v>117</v>
      </c>
      <c r="D656" t="s">
        <v>21</v>
      </c>
      <c r="E656" t="s">
        <v>22</v>
      </c>
      <c r="F656" t="s">
        <v>64</v>
      </c>
      <c r="G656">
        <v>11</v>
      </c>
      <c r="H656">
        <v>500</v>
      </c>
      <c r="I656">
        <v>0</v>
      </c>
      <c r="J656" t="str">
        <f>_xlfn.XLOOKUP(tblOrders[[#This Row],[ProductID]],Products!$A$2:$A$9,Products!$B$2:$B$9,"Unknown")</f>
        <v>Mouse</v>
      </c>
      <c r="K656" t="str">
        <f>_xlfn.XLOOKUP(tblOrders[[#This Row],[ProductID]],Products!$A$2:$A$9,Products!$C$2:$C$9,"Unknown")</f>
        <v>Accessories</v>
      </c>
      <c r="L656">
        <f>_xlfn.XLOOKUP(tblOrders[[#This Row],[ProductID]],Products!$A$2:$A$9,Products!$D$2:$D$9,0)</f>
        <v>320</v>
      </c>
      <c r="M656">
        <f>tblOrders[[#This Row],[Quantity]]*tblOrders[[#This Row],[UnitPrice]]*(1-tblOrders[[#This Row],[Discount]])</f>
        <v>5500</v>
      </c>
      <c r="N656">
        <f>tblOrders[[#This Row],[Quantity]]*tblOrders[[#This Row],[UnitCost]]</f>
        <v>3520</v>
      </c>
      <c r="O656">
        <f>tblOrders[[#This Row],[Revenue]]-tblOrders[[#This Row],[Cost]]</f>
        <v>1980</v>
      </c>
      <c r="P656" t="str">
        <f>TEXT(tblOrders[[#This Row],[OrderDate]],"mmm")</f>
        <v>Jul</v>
      </c>
    </row>
    <row r="657" spans="1:16" x14ac:dyDescent="0.25">
      <c r="A657" t="s">
        <v>403</v>
      </c>
      <c r="B657" s="2">
        <v>46006</v>
      </c>
      <c r="C657" t="s">
        <v>63</v>
      </c>
      <c r="D657" t="s">
        <v>21</v>
      </c>
      <c r="E657" t="s">
        <v>22</v>
      </c>
      <c r="F657" t="s">
        <v>43</v>
      </c>
      <c r="G657">
        <v>10</v>
      </c>
      <c r="H657">
        <v>1500</v>
      </c>
      <c r="I657">
        <v>0.05</v>
      </c>
      <c r="J657" t="str">
        <f>_xlfn.XLOOKUP(tblOrders[[#This Row],[ProductID]],Products!$A$2:$A$9,Products!$B$2:$B$9,"Unknown")</f>
        <v>Webcam</v>
      </c>
      <c r="K657" t="str">
        <f>_xlfn.XLOOKUP(tblOrders[[#This Row],[ProductID]],Products!$A$2:$A$9,Products!$C$2:$C$9,"Unknown")</f>
        <v>Accessories</v>
      </c>
      <c r="L657">
        <f>_xlfn.XLOOKUP(tblOrders[[#This Row],[ProductID]],Products!$A$2:$A$9,Products!$D$2:$D$9,0)</f>
        <v>980</v>
      </c>
      <c r="M657">
        <f>tblOrders[[#This Row],[Quantity]]*tblOrders[[#This Row],[UnitPrice]]*(1-tblOrders[[#This Row],[Discount]])</f>
        <v>14250</v>
      </c>
      <c r="N657">
        <f>tblOrders[[#This Row],[Quantity]]*tblOrders[[#This Row],[UnitCost]]</f>
        <v>9800</v>
      </c>
      <c r="O657">
        <f>tblOrders[[#This Row],[Revenue]]-tblOrders[[#This Row],[Cost]]</f>
        <v>4450</v>
      </c>
      <c r="P657" t="str">
        <f>TEXT(tblOrders[[#This Row],[OrderDate]],"mmm")</f>
        <v>Dec</v>
      </c>
    </row>
    <row r="658" spans="1:16" x14ac:dyDescent="0.25">
      <c r="A658" t="s">
        <v>569</v>
      </c>
      <c r="B658" s="2">
        <v>45894</v>
      </c>
      <c r="C658" t="s">
        <v>113</v>
      </c>
      <c r="D658" t="s">
        <v>39</v>
      </c>
      <c r="E658" t="s">
        <v>40</v>
      </c>
      <c r="F658" t="s">
        <v>34</v>
      </c>
      <c r="G658">
        <v>10</v>
      </c>
      <c r="H658">
        <v>55000</v>
      </c>
      <c r="I658">
        <v>0.1</v>
      </c>
      <c r="J658" t="str">
        <f>_xlfn.XLOOKUP(tblOrders[[#This Row],[ProductID]],Products!$A$2:$A$9,Products!$B$2:$B$9,"Unknown")</f>
        <v>Laptop</v>
      </c>
      <c r="K658" t="str">
        <f>_xlfn.XLOOKUP(tblOrders[[#This Row],[ProductID]],Products!$A$2:$A$9,Products!$C$2:$C$9,"Unknown")</f>
        <v>Electronics</v>
      </c>
      <c r="L658">
        <f>_xlfn.XLOOKUP(tblOrders[[#This Row],[ProductID]],Products!$A$2:$A$9,Products!$D$2:$D$9,0)</f>
        <v>41000</v>
      </c>
      <c r="M658">
        <f>tblOrders[[#This Row],[Quantity]]*tblOrders[[#This Row],[UnitPrice]]*(1-tblOrders[[#This Row],[Discount]])</f>
        <v>495000</v>
      </c>
      <c r="N658">
        <f>tblOrders[[#This Row],[Quantity]]*tblOrders[[#This Row],[UnitCost]]</f>
        <v>410000</v>
      </c>
      <c r="O658">
        <f>tblOrders[[#This Row],[Revenue]]-tblOrders[[#This Row],[Cost]]</f>
        <v>85000</v>
      </c>
      <c r="P658" t="str">
        <f>TEXT(tblOrders[[#This Row],[OrderDate]],"mmm")</f>
        <v>Aug</v>
      </c>
    </row>
    <row r="659" spans="1:16" x14ac:dyDescent="0.25">
      <c r="A659" t="s">
        <v>292</v>
      </c>
      <c r="B659" s="2">
        <v>45971</v>
      </c>
      <c r="C659" t="s">
        <v>52</v>
      </c>
      <c r="D659" t="s">
        <v>16</v>
      </c>
      <c r="E659" t="s">
        <v>33</v>
      </c>
      <c r="F659" t="s">
        <v>64</v>
      </c>
      <c r="G659">
        <v>1</v>
      </c>
      <c r="H659">
        <v>500</v>
      </c>
      <c r="I659">
        <v>0</v>
      </c>
      <c r="J659" t="str">
        <f>_xlfn.XLOOKUP(tblOrders[[#This Row],[ProductID]],Products!$A$2:$A$9,Products!$B$2:$B$9,"Unknown")</f>
        <v>Mouse</v>
      </c>
      <c r="K659" t="str">
        <f>_xlfn.XLOOKUP(tblOrders[[#This Row],[ProductID]],Products!$A$2:$A$9,Products!$C$2:$C$9,"Unknown")</f>
        <v>Accessories</v>
      </c>
      <c r="L659">
        <f>_xlfn.XLOOKUP(tblOrders[[#This Row],[ProductID]],Products!$A$2:$A$9,Products!$D$2:$D$9,0)</f>
        <v>320</v>
      </c>
      <c r="M659">
        <f>tblOrders[[#This Row],[Quantity]]*tblOrders[[#This Row],[UnitPrice]]*(1-tblOrders[[#This Row],[Discount]])</f>
        <v>500</v>
      </c>
      <c r="N659">
        <f>tblOrders[[#This Row],[Quantity]]*tblOrders[[#This Row],[UnitCost]]</f>
        <v>320</v>
      </c>
      <c r="O659">
        <f>tblOrders[[#This Row],[Revenue]]-tblOrders[[#This Row],[Cost]]</f>
        <v>180</v>
      </c>
      <c r="P659" t="str">
        <f>TEXT(tblOrders[[#This Row],[OrderDate]],"mmm")</f>
        <v>Nov</v>
      </c>
    </row>
    <row r="660" spans="1:16" x14ac:dyDescent="0.25">
      <c r="A660" t="s">
        <v>433</v>
      </c>
      <c r="B660" s="2">
        <v>45977</v>
      </c>
      <c r="C660" t="s">
        <v>48</v>
      </c>
      <c r="D660" t="s">
        <v>39</v>
      </c>
      <c r="E660" t="s">
        <v>40</v>
      </c>
      <c r="F660" t="s">
        <v>43</v>
      </c>
      <c r="G660">
        <v>10</v>
      </c>
      <c r="H660">
        <v>1500</v>
      </c>
      <c r="I660">
        <v>0</v>
      </c>
      <c r="J660" t="str">
        <f>_xlfn.XLOOKUP(tblOrders[[#This Row],[ProductID]],Products!$A$2:$A$9,Products!$B$2:$B$9,"Unknown")</f>
        <v>Webcam</v>
      </c>
      <c r="K660" t="str">
        <f>_xlfn.XLOOKUP(tblOrders[[#This Row],[ProductID]],Products!$A$2:$A$9,Products!$C$2:$C$9,"Unknown")</f>
        <v>Accessories</v>
      </c>
      <c r="L660">
        <f>_xlfn.XLOOKUP(tblOrders[[#This Row],[ProductID]],Products!$A$2:$A$9,Products!$D$2:$D$9,0)</f>
        <v>980</v>
      </c>
      <c r="M660">
        <f>tblOrders[[#This Row],[Quantity]]*tblOrders[[#This Row],[UnitPrice]]*(1-tblOrders[[#This Row],[Discount]])</f>
        <v>15000</v>
      </c>
      <c r="N660">
        <f>tblOrders[[#This Row],[Quantity]]*tblOrders[[#This Row],[UnitCost]]</f>
        <v>9800</v>
      </c>
      <c r="O660">
        <f>tblOrders[[#This Row],[Revenue]]-tblOrders[[#This Row],[Cost]]</f>
        <v>5200</v>
      </c>
      <c r="P660" t="str">
        <f>TEXT(tblOrders[[#This Row],[OrderDate]],"mmm")</f>
        <v>Nov</v>
      </c>
    </row>
    <row r="661" spans="1:16" x14ac:dyDescent="0.25">
      <c r="A661" t="s">
        <v>508</v>
      </c>
      <c r="B661" s="2">
        <v>45965</v>
      </c>
      <c r="C661" t="s">
        <v>15</v>
      </c>
      <c r="D661" t="s">
        <v>11</v>
      </c>
      <c r="E661" t="s">
        <v>12</v>
      </c>
      <c r="F661" t="s">
        <v>43</v>
      </c>
      <c r="G661">
        <v>15</v>
      </c>
      <c r="H661">
        <v>1500</v>
      </c>
      <c r="I661">
        <v>0.15</v>
      </c>
      <c r="J661" t="str">
        <f>_xlfn.XLOOKUP(tblOrders[[#This Row],[ProductID]],Products!$A$2:$A$9,Products!$B$2:$B$9,"Unknown")</f>
        <v>Webcam</v>
      </c>
      <c r="K661" t="str">
        <f>_xlfn.XLOOKUP(tblOrders[[#This Row],[ProductID]],Products!$A$2:$A$9,Products!$C$2:$C$9,"Unknown")</f>
        <v>Accessories</v>
      </c>
      <c r="L661">
        <f>_xlfn.XLOOKUP(tblOrders[[#This Row],[ProductID]],Products!$A$2:$A$9,Products!$D$2:$D$9,0)</f>
        <v>980</v>
      </c>
      <c r="M661">
        <f>tblOrders[[#This Row],[Quantity]]*tblOrders[[#This Row],[UnitPrice]]*(1-tblOrders[[#This Row],[Discount]])</f>
        <v>19125</v>
      </c>
      <c r="N661">
        <f>tblOrders[[#This Row],[Quantity]]*tblOrders[[#This Row],[UnitCost]]</f>
        <v>14700</v>
      </c>
      <c r="O661">
        <f>tblOrders[[#This Row],[Revenue]]-tblOrders[[#This Row],[Cost]]</f>
        <v>4425</v>
      </c>
      <c r="P661" t="str">
        <f>TEXT(tblOrders[[#This Row],[OrderDate]],"mmm")</f>
        <v>Nov</v>
      </c>
    </row>
    <row r="662" spans="1:16" x14ac:dyDescent="0.25">
      <c r="A662" t="s">
        <v>1009</v>
      </c>
      <c r="B662" s="2">
        <v>45941</v>
      </c>
      <c r="C662" t="s">
        <v>15</v>
      </c>
      <c r="D662" t="s">
        <v>16</v>
      </c>
      <c r="E662" t="s">
        <v>33</v>
      </c>
      <c r="F662" t="s">
        <v>64</v>
      </c>
      <c r="G662">
        <v>1</v>
      </c>
      <c r="H662">
        <v>500</v>
      </c>
      <c r="I662">
        <v>0.1</v>
      </c>
      <c r="J662" t="str">
        <f>_xlfn.XLOOKUP(tblOrders[[#This Row],[ProductID]],Products!$A$2:$A$9,Products!$B$2:$B$9,"Unknown")</f>
        <v>Mouse</v>
      </c>
      <c r="K662" t="str">
        <f>_xlfn.XLOOKUP(tblOrders[[#This Row],[ProductID]],Products!$A$2:$A$9,Products!$C$2:$C$9,"Unknown")</f>
        <v>Accessories</v>
      </c>
      <c r="L662">
        <f>_xlfn.XLOOKUP(tblOrders[[#This Row],[ProductID]],Products!$A$2:$A$9,Products!$D$2:$D$9,0)</f>
        <v>320</v>
      </c>
      <c r="M662">
        <f>tblOrders[[#This Row],[Quantity]]*tblOrders[[#This Row],[UnitPrice]]*(1-tblOrders[[#This Row],[Discount]])</f>
        <v>450</v>
      </c>
      <c r="N662">
        <f>tblOrders[[#This Row],[Quantity]]*tblOrders[[#This Row],[UnitCost]]</f>
        <v>320</v>
      </c>
      <c r="O662">
        <f>tblOrders[[#This Row],[Revenue]]-tblOrders[[#This Row],[Cost]]</f>
        <v>130</v>
      </c>
      <c r="P662" t="str">
        <f>TEXT(tblOrders[[#This Row],[OrderDate]],"mmm")</f>
        <v>Oct</v>
      </c>
    </row>
    <row r="663" spans="1:16" x14ac:dyDescent="0.25">
      <c r="A663" t="s">
        <v>836</v>
      </c>
      <c r="B663" s="2">
        <v>45798</v>
      </c>
      <c r="C663" t="s">
        <v>149</v>
      </c>
      <c r="D663" t="s">
        <v>21</v>
      </c>
      <c r="E663" t="s">
        <v>28</v>
      </c>
      <c r="F663" t="s">
        <v>18</v>
      </c>
      <c r="G663">
        <v>10</v>
      </c>
      <c r="H663">
        <v>18000</v>
      </c>
      <c r="I663">
        <v>0</v>
      </c>
      <c r="J663" t="str">
        <f>_xlfn.XLOOKUP(tblOrders[[#This Row],[ProductID]],Products!$A$2:$A$9,Products!$B$2:$B$9,"Unknown")</f>
        <v>Tablet</v>
      </c>
      <c r="K663" t="str">
        <f>_xlfn.XLOOKUP(tblOrders[[#This Row],[ProductID]],Products!$A$2:$A$9,Products!$C$2:$C$9,"Unknown")</f>
        <v>Electronics</v>
      </c>
      <c r="L663">
        <f>_xlfn.XLOOKUP(tblOrders[[#This Row],[ProductID]],Products!$A$2:$A$9,Products!$D$2:$D$9,0)</f>
        <v>13500</v>
      </c>
      <c r="M663">
        <f>tblOrders[[#This Row],[Quantity]]*tblOrders[[#This Row],[UnitPrice]]*(1-tblOrders[[#This Row],[Discount]])</f>
        <v>180000</v>
      </c>
      <c r="N663">
        <f>tblOrders[[#This Row],[Quantity]]*tblOrders[[#This Row],[UnitCost]]</f>
        <v>135000</v>
      </c>
      <c r="O663">
        <f>tblOrders[[#This Row],[Revenue]]-tblOrders[[#This Row],[Cost]]</f>
        <v>45000</v>
      </c>
      <c r="P663" t="str">
        <f>TEXT(tblOrders[[#This Row],[OrderDate]],"mmm")</f>
        <v>May</v>
      </c>
    </row>
    <row r="664" spans="1:16" x14ac:dyDescent="0.25">
      <c r="A664" t="s">
        <v>190</v>
      </c>
      <c r="B664" s="2">
        <v>45721</v>
      </c>
      <c r="C664" t="s">
        <v>135</v>
      </c>
      <c r="D664" t="s">
        <v>21</v>
      </c>
      <c r="E664" t="s">
        <v>22</v>
      </c>
      <c r="F664" t="s">
        <v>13</v>
      </c>
      <c r="G664">
        <v>6</v>
      </c>
      <c r="H664">
        <v>2000</v>
      </c>
      <c r="I664">
        <v>0</v>
      </c>
      <c r="J664" t="str">
        <f>_xlfn.XLOOKUP(tblOrders[[#This Row],[ProductID]],Products!$A$2:$A$9,Products!$B$2:$B$9,"Unknown")</f>
        <v>Headset</v>
      </c>
      <c r="K664" t="str">
        <f>_xlfn.XLOOKUP(tblOrders[[#This Row],[ProductID]],Products!$A$2:$A$9,Products!$C$2:$C$9,"Unknown")</f>
        <v>Accessories</v>
      </c>
      <c r="L664">
        <f>_xlfn.XLOOKUP(tblOrders[[#This Row],[ProductID]],Products!$A$2:$A$9,Products!$D$2:$D$9,0)</f>
        <v>1300</v>
      </c>
      <c r="M664">
        <f>tblOrders[[#This Row],[Quantity]]*tblOrders[[#This Row],[UnitPrice]]*(1-tblOrders[[#This Row],[Discount]])</f>
        <v>12000</v>
      </c>
      <c r="N664">
        <f>tblOrders[[#This Row],[Quantity]]*tblOrders[[#This Row],[UnitCost]]</f>
        <v>7800</v>
      </c>
      <c r="O664">
        <f>tblOrders[[#This Row],[Revenue]]-tblOrders[[#This Row],[Cost]]</f>
        <v>4200</v>
      </c>
      <c r="P664" t="str">
        <f>TEXT(tblOrders[[#This Row],[OrderDate]],"mmm")</f>
        <v>Mar</v>
      </c>
    </row>
    <row r="665" spans="1:16" x14ac:dyDescent="0.25">
      <c r="A665" t="s">
        <v>597</v>
      </c>
      <c r="B665" s="2">
        <v>45953</v>
      </c>
      <c r="C665" t="s">
        <v>195</v>
      </c>
      <c r="D665" t="s">
        <v>16</v>
      </c>
      <c r="E665" t="s">
        <v>33</v>
      </c>
      <c r="F665" t="s">
        <v>55</v>
      </c>
      <c r="G665">
        <v>6</v>
      </c>
      <c r="H665">
        <v>8000</v>
      </c>
      <c r="I665">
        <v>0</v>
      </c>
      <c r="J665" t="str">
        <f>_xlfn.XLOOKUP(tblOrders[[#This Row],[ProductID]],Products!$A$2:$A$9,Products!$B$2:$B$9,"Unknown")</f>
        <v>Printer</v>
      </c>
      <c r="K665" t="str">
        <f>_xlfn.XLOOKUP(tblOrders[[#This Row],[ProductID]],Products!$A$2:$A$9,Products!$C$2:$C$9,"Unknown")</f>
        <v>Electronics</v>
      </c>
      <c r="L665">
        <f>_xlfn.XLOOKUP(tblOrders[[#This Row],[ProductID]],Products!$A$2:$A$9,Products!$D$2:$D$9,0)</f>
        <v>6200</v>
      </c>
      <c r="M665">
        <f>tblOrders[[#This Row],[Quantity]]*tblOrders[[#This Row],[UnitPrice]]*(1-tblOrders[[#This Row],[Discount]])</f>
        <v>48000</v>
      </c>
      <c r="N665">
        <f>tblOrders[[#This Row],[Quantity]]*tblOrders[[#This Row],[UnitCost]]</f>
        <v>37200</v>
      </c>
      <c r="O665">
        <f>tblOrders[[#This Row],[Revenue]]-tblOrders[[#This Row],[Cost]]</f>
        <v>10800</v>
      </c>
      <c r="P665" t="str">
        <f>TEXT(tblOrders[[#This Row],[OrderDate]],"mmm")</f>
        <v>Oct</v>
      </c>
    </row>
    <row r="666" spans="1:16" x14ac:dyDescent="0.25">
      <c r="A666" t="s">
        <v>887</v>
      </c>
      <c r="B666" s="2">
        <v>45871</v>
      </c>
      <c r="C666" t="s">
        <v>153</v>
      </c>
      <c r="D666" t="s">
        <v>16</v>
      </c>
      <c r="E666" t="s">
        <v>33</v>
      </c>
      <c r="F666" t="s">
        <v>64</v>
      </c>
      <c r="G666">
        <v>8</v>
      </c>
      <c r="H666">
        <v>500</v>
      </c>
      <c r="I666">
        <v>0.1</v>
      </c>
      <c r="J666" t="str">
        <f>_xlfn.XLOOKUP(tblOrders[[#This Row],[ProductID]],Products!$A$2:$A$9,Products!$B$2:$B$9,"Unknown")</f>
        <v>Mouse</v>
      </c>
      <c r="K666" t="str">
        <f>_xlfn.XLOOKUP(tblOrders[[#This Row],[ProductID]],Products!$A$2:$A$9,Products!$C$2:$C$9,"Unknown")</f>
        <v>Accessories</v>
      </c>
      <c r="L666">
        <f>_xlfn.XLOOKUP(tblOrders[[#This Row],[ProductID]],Products!$A$2:$A$9,Products!$D$2:$D$9,0)</f>
        <v>320</v>
      </c>
      <c r="M666">
        <f>tblOrders[[#This Row],[Quantity]]*tblOrders[[#This Row],[UnitPrice]]*(1-tblOrders[[#This Row],[Discount]])</f>
        <v>3600</v>
      </c>
      <c r="N666">
        <f>tblOrders[[#This Row],[Quantity]]*tblOrders[[#This Row],[UnitCost]]</f>
        <v>2560</v>
      </c>
      <c r="O666">
        <f>tblOrders[[#This Row],[Revenue]]-tblOrders[[#This Row],[Cost]]</f>
        <v>1040</v>
      </c>
      <c r="P666" t="str">
        <f>TEXT(tblOrders[[#This Row],[OrderDate]],"mmm")</f>
        <v>Aug</v>
      </c>
    </row>
    <row r="667" spans="1:16" x14ac:dyDescent="0.25">
      <c r="A667" t="s">
        <v>660</v>
      </c>
      <c r="B667" s="2">
        <v>46015</v>
      </c>
      <c r="C667" t="s">
        <v>73</v>
      </c>
      <c r="D667" t="s">
        <v>16</v>
      </c>
      <c r="E667" t="s">
        <v>33</v>
      </c>
      <c r="F667" t="s">
        <v>18</v>
      </c>
      <c r="G667">
        <v>7</v>
      </c>
      <c r="H667">
        <v>18000</v>
      </c>
      <c r="I667">
        <v>0</v>
      </c>
      <c r="J667" t="str">
        <f>_xlfn.XLOOKUP(tblOrders[[#This Row],[ProductID]],Products!$A$2:$A$9,Products!$B$2:$B$9,"Unknown")</f>
        <v>Tablet</v>
      </c>
      <c r="K667" t="str">
        <f>_xlfn.XLOOKUP(tblOrders[[#This Row],[ProductID]],Products!$A$2:$A$9,Products!$C$2:$C$9,"Unknown")</f>
        <v>Electronics</v>
      </c>
      <c r="L667">
        <f>_xlfn.XLOOKUP(tblOrders[[#This Row],[ProductID]],Products!$A$2:$A$9,Products!$D$2:$D$9,0)</f>
        <v>13500</v>
      </c>
      <c r="M667">
        <f>tblOrders[[#This Row],[Quantity]]*tblOrders[[#This Row],[UnitPrice]]*(1-tblOrders[[#This Row],[Discount]])</f>
        <v>126000</v>
      </c>
      <c r="N667">
        <f>tblOrders[[#This Row],[Quantity]]*tblOrders[[#This Row],[UnitCost]]</f>
        <v>94500</v>
      </c>
      <c r="O667">
        <f>tblOrders[[#This Row],[Revenue]]-tblOrders[[#This Row],[Cost]]</f>
        <v>31500</v>
      </c>
      <c r="P667" t="str">
        <f>TEXT(tblOrders[[#This Row],[OrderDate]],"mmm")</f>
        <v>Dec</v>
      </c>
    </row>
    <row r="668" spans="1:16" x14ac:dyDescent="0.25">
      <c r="A668" t="s">
        <v>418</v>
      </c>
      <c r="B668" s="2">
        <v>46016</v>
      </c>
      <c r="C668" t="s">
        <v>136</v>
      </c>
      <c r="D668" t="s">
        <v>11</v>
      </c>
      <c r="E668" t="s">
        <v>46</v>
      </c>
      <c r="F668" t="s">
        <v>23</v>
      </c>
      <c r="G668">
        <v>12</v>
      </c>
      <c r="H668">
        <v>900</v>
      </c>
      <c r="I668">
        <v>0.05</v>
      </c>
      <c r="J668" t="str">
        <f>_xlfn.XLOOKUP(tblOrders[[#This Row],[ProductID]],Products!$A$2:$A$9,Products!$B$2:$B$9,"Unknown")</f>
        <v>Keyboard</v>
      </c>
      <c r="K668" t="str">
        <f>_xlfn.XLOOKUP(tblOrders[[#This Row],[ProductID]],Products!$A$2:$A$9,Products!$C$2:$C$9,"Unknown")</f>
        <v>Accessories</v>
      </c>
      <c r="L668">
        <f>_xlfn.XLOOKUP(tblOrders[[#This Row],[ProductID]],Products!$A$2:$A$9,Products!$D$2:$D$9,0)</f>
        <v>600</v>
      </c>
      <c r="M668">
        <f>tblOrders[[#This Row],[Quantity]]*tblOrders[[#This Row],[UnitPrice]]*(1-tblOrders[[#This Row],[Discount]])</f>
        <v>10260</v>
      </c>
      <c r="N668">
        <f>tblOrders[[#This Row],[Quantity]]*tblOrders[[#This Row],[UnitCost]]</f>
        <v>7200</v>
      </c>
      <c r="O668">
        <f>tblOrders[[#This Row],[Revenue]]-tblOrders[[#This Row],[Cost]]</f>
        <v>3060</v>
      </c>
      <c r="P668" t="str">
        <f>TEXT(tblOrders[[#This Row],[OrderDate]],"mmm")</f>
        <v>Dec</v>
      </c>
    </row>
    <row r="669" spans="1:16" x14ac:dyDescent="0.25">
      <c r="A669" t="s">
        <v>87</v>
      </c>
      <c r="B669" s="2">
        <v>45724</v>
      </c>
      <c r="C669" t="s">
        <v>20</v>
      </c>
      <c r="D669" t="s">
        <v>11</v>
      </c>
      <c r="E669" t="s">
        <v>12</v>
      </c>
      <c r="F669" t="s">
        <v>18</v>
      </c>
      <c r="G669">
        <v>14</v>
      </c>
      <c r="H669">
        <v>18000</v>
      </c>
      <c r="I669">
        <v>0.1</v>
      </c>
      <c r="J669" t="str">
        <f>_xlfn.XLOOKUP(tblOrders[[#This Row],[ProductID]],Products!$A$2:$A$9,Products!$B$2:$B$9,"Unknown")</f>
        <v>Tablet</v>
      </c>
      <c r="K669" t="str">
        <f>_xlfn.XLOOKUP(tblOrders[[#This Row],[ProductID]],Products!$A$2:$A$9,Products!$C$2:$C$9,"Unknown")</f>
        <v>Electronics</v>
      </c>
      <c r="L669">
        <f>_xlfn.XLOOKUP(tblOrders[[#This Row],[ProductID]],Products!$A$2:$A$9,Products!$D$2:$D$9,0)</f>
        <v>13500</v>
      </c>
      <c r="M669">
        <f>tblOrders[[#This Row],[Quantity]]*tblOrders[[#This Row],[UnitPrice]]*(1-tblOrders[[#This Row],[Discount]])</f>
        <v>226800</v>
      </c>
      <c r="N669">
        <f>tblOrders[[#This Row],[Quantity]]*tblOrders[[#This Row],[UnitCost]]</f>
        <v>189000</v>
      </c>
      <c r="O669">
        <f>tblOrders[[#This Row],[Revenue]]-tblOrders[[#This Row],[Cost]]</f>
        <v>37800</v>
      </c>
      <c r="P669" t="str">
        <f>TEXT(tblOrders[[#This Row],[OrderDate]],"mmm")</f>
        <v>Mar</v>
      </c>
    </row>
    <row r="670" spans="1:16" x14ac:dyDescent="0.25">
      <c r="A670" t="s">
        <v>951</v>
      </c>
      <c r="B670" s="2">
        <v>45948</v>
      </c>
      <c r="C670" t="s">
        <v>78</v>
      </c>
      <c r="D670" t="s">
        <v>21</v>
      </c>
      <c r="E670" t="s">
        <v>28</v>
      </c>
      <c r="F670" t="s">
        <v>43</v>
      </c>
      <c r="G670">
        <v>10</v>
      </c>
      <c r="H670">
        <v>1500</v>
      </c>
      <c r="I670">
        <v>0.05</v>
      </c>
      <c r="J670" t="str">
        <f>_xlfn.XLOOKUP(tblOrders[[#This Row],[ProductID]],Products!$A$2:$A$9,Products!$B$2:$B$9,"Unknown")</f>
        <v>Webcam</v>
      </c>
      <c r="K670" t="str">
        <f>_xlfn.XLOOKUP(tblOrders[[#This Row],[ProductID]],Products!$A$2:$A$9,Products!$C$2:$C$9,"Unknown")</f>
        <v>Accessories</v>
      </c>
      <c r="L670">
        <f>_xlfn.XLOOKUP(tblOrders[[#This Row],[ProductID]],Products!$A$2:$A$9,Products!$D$2:$D$9,0)</f>
        <v>980</v>
      </c>
      <c r="M670">
        <f>tblOrders[[#This Row],[Quantity]]*tblOrders[[#This Row],[UnitPrice]]*(1-tblOrders[[#This Row],[Discount]])</f>
        <v>14250</v>
      </c>
      <c r="N670">
        <f>tblOrders[[#This Row],[Quantity]]*tblOrders[[#This Row],[UnitCost]]</f>
        <v>9800</v>
      </c>
      <c r="O670">
        <f>tblOrders[[#This Row],[Revenue]]-tblOrders[[#This Row],[Cost]]</f>
        <v>4450</v>
      </c>
      <c r="P670" t="str">
        <f>TEXT(tblOrders[[#This Row],[OrderDate]],"mmm")</f>
        <v>Oct</v>
      </c>
    </row>
    <row r="671" spans="1:16" x14ac:dyDescent="0.25">
      <c r="A671" t="s">
        <v>371</v>
      </c>
      <c r="B671" s="2">
        <v>45818</v>
      </c>
      <c r="C671" t="s">
        <v>57</v>
      </c>
      <c r="D671" t="s">
        <v>16</v>
      </c>
      <c r="E671" t="s">
        <v>17</v>
      </c>
      <c r="F671" t="s">
        <v>34</v>
      </c>
      <c r="G671">
        <v>8</v>
      </c>
      <c r="H671">
        <v>55000</v>
      </c>
      <c r="I671">
        <v>0.05</v>
      </c>
      <c r="J671" t="str">
        <f>_xlfn.XLOOKUP(tblOrders[[#This Row],[ProductID]],Products!$A$2:$A$9,Products!$B$2:$B$9,"Unknown")</f>
        <v>Laptop</v>
      </c>
      <c r="K671" t="str">
        <f>_xlfn.XLOOKUP(tblOrders[[#This Row],[ProductID]],Products!$A$2:$A$9,Products!$C$2:$C$9,"Unknown")</f>
        <v>Electronics</v>
      </c>
      <c r="L671">
        <f>_xlfn.XLOOKUP(tblOrders[[#This Row],[ProductID]],Products!$A$2:$A$9,Products!$D$2:$D$9,0)</f>
        <v>41000</v>
      </c>
      <c r="M671">
        <f>tblOrders[[#This Row],[Quantity]]*tblOrders[[#This Row],[UnitPrice]]*(1-tblOrders[[#This Row],[Discount]])</f>
        <v>418000</v>
      </c>
      <c r="N671">
        <f>tblOrders[[#This Row],[Quantity]]*tblOrders[[#This Row],[UnitCost]]</f>
        <v>328000</v>
      </c>
      <c r="O671">
        <f>tblOrders[[#This Row],[Revenue]]-tblOrders[[#This Row],[Cost]]</f>
        <v>90000</v>
      </c>
      <c r="P671" t="str">
        <f>TEXT(tblOrders[[#This Row],[OrderDate]],"mmm")</f>
        <v>Jun</v>
      </c>
    </row>
    <row r="672" spans="1:16" x14ac:dyDescent="0.25">
      <c r="A672" t="s">
        <v>758</v>
      </c>
      <c r="B672" s="2">
        <v>46000</v>
      </c>
      <c r="C672" t="s">
        <v>132</v>
      </c>
      <c r="D672" t="s">
        <v>21</v>
      </c>
      <c r="E672" t="s">
        <v>28</v>
      </c>
      <c r="F672" t="s">
        <v>23</v>
      </c>
      <c r="G672">
        <v>2</v>
      </c>
      <c r="H672">
        <v>900</v>
      </c>
      <c r="I672">
        <v>0</v>
      </c>
      <c r="J672" t="str">
        <f>_xlfn.XLOOKUP(tblOrders[[#This Row],[ProductID]],Products!$A$2:$A$9,Products!$B$2:$B$9,"Unknown")</f>
        <v>Keyboard</v>
      </c>
      <c r="K672" t="str">
        <f>_xlfn.XLOOKUP(tblOrders[[#This Row],[ProductID]],Products!$A$2:$A$9,Products!$C$2:$C$9,"Unknown")</f>
        <v>Accessories</v>
      </c>
      <c r="L672">
        <f>_xlfn.XLOOKUP(tblOrders[[#This Row],[ProductID]],Products!$A$2:$A$9,Products!$D$2:$D$9,0)</f>
        <v>600</v>
      </c>
      <c r="M672">
        <f>tblOrders[[#This Row],[Quantity]]*tblOrders[[#This Row],[UnitPrice]]*(1-tblOrders[[#This Row],[Discount]])</f>
        <v>1800</v>
      </c>
      <c r="N672">
        <f>tblOrders[[#This Row],[Quantity]]*tblOrders[[#This Row],[UnitCost]]</f>
        <v>1200</v>
      </c>
      <c r="O672">
        <f>tblOrders[[#This Row],[Revenue]]-tblOrders[[#This Row],[Cost]]</f>
        <v>600</v>
      </c>
      <c r="P672" t="str">
        <f>TEXT(tblOrders[[#This Row],[OrderDate]],"mmm")</f>
        <v>Dec</v>
      </c>
    </row>
    <row r="673" spans="1:16" x14ac:dyDescent="0.25">
      <c r="A673" t="s">
        <v>465</v>
      </c>
      <c r="B673" s="2">
        <v>45890</v>
      </c>
      <c r="C673" t="s">
        <v>73</v>
      </c>
      <c r="D673" t="s">
        <v>39</v>
      </c>
      <c r="E673" t="s">
        <v>40</v>
      </c>
      <c r="F673" t="s">
        <v>64</v>
      </c>
      <c r="G673">
        <v>14</v>
      </c>
      <c r="H673">
        <v>500</v>
      </c>
      <c r="I673">
        <v>0.15</v>
      </c>
      <c r="J673" t="str">
        <f>_xlfn.XLOOKUP(tblOrders[[#This Row],[ProductID]],Products!$A$2:$A$9,Products!$B$2:$B$9,"Unknown")</f>
        <v>Mouse</v>
      </c>
      <c r="K673" t="str">
        <f>_xlfn.XLOOKUP(tblOrders[[#This Row],[ProductID]],Products!$A$2:$A$9,Products!$C$2:$C$9,"Unknown")</f>
        <v>Accessories</v>
      </c>
      <c r="L673">
        <f>_xlfn.XLOOKUP(tblOrders[[#This Row],[ProductID]],Products!$A$2:$A$9,Products!$D$2:$D$9,0)</f>
        <v>320</v>
      </c>
      <c r="M673">
        <f>tblOrders[[#This Row],[Quantity]]*tblOrders[[#This Row],[UnitPrice]]*(1-tblOrders[[#This Row],[Discount]])</f>
        <v>5950</v>
      </c>
      <c r="N673">
        <f>tblOrders[[#This Row],[Quantity]]*tblOrders[[#This Row],[UnitCost]]</f>
        <v>4480</v>
      </c>
      <c r="O673">
        <f>tblOrders[[#This Row],[Revenue]]-tblOrders[[#This Row],[Cost]]</f>
        <v>1470</v>
      </c>
      <c r="P673" t="str">
        <f>TEXT(tblOrders[[#This Row],[OrderDate]],"mmm")</f>
        <v>Aug</v>
      </c>
    </row>
    <row r="674" spans="1:16" x14ac:dyDescent="0.25">
      <c r="A674" t="s">
        <v>661</v>
      </c>
      <c r="B674" s="2">
        <v>45787</v>
      </c>
      <c r="C674" t="s">
        <v>63</v>
      </c>
      <c r="D674" t="s">
        <v>16</v>
      </c>
      <c r="E674" t="s">
        <v>17</v>
      </c>
      <c r="F674" t="s">
        <v>18</v>
      </c>
      <c r="G674">
        <v>10</v>
      </c>
      <c r="H674">
        <v>18000</v>
      </c>
      <c r="I674">
        <v>0.1</v>
      </c>
      <c r="J674" t="str">
        <f>_xlfn.XLOOKUP(tblOrders[[#This Row],[ProductID]],Products!$A$2:$A$9,Products!$B$2:$B$9,"Unknown")</f>
        <v>Tablet</v>
      </c>
      <c r="K674" t="str">
        <f>_xlfn.XLOOKUP(tblOrders[[#This Row],[ProductID]],Products!$A$2:$A$9,Products!$C$2:$C$9,"Unknown")</f>
        <v>Electronics</v>
      </c>
      <c r="L674">
        <f>_xlfn.XLOOKUP(tblOrders[[#This Row],[ProductID]],Products!$A$2:$A$9,Products!$D$2:$D$9,0)</f>
        <v>13500</v>
      </c>
      <c r="M674">
        <f>tblOrders[[#This Row],[Quantity]]*tblOrders[[#This Row],[UnitPrice]]*(1-tblOrders[[#This Row],[Discount]])</f>
        <v>162000</v>
      </c>
      <c r="N674">
        <f>tblOrders[[#This Row],[Quantity]]*tblOrders[[#This Row],[UnitCost]]</f>
        <v>135000</v>
      </c>
      <c r="O674">
        <f>tblOrders[[#This Row],[Revenue]]-tblOrders[[#This Row],[Cost]]</f>
        <v>27000</v>
      </c>
      <c r="P674" t="str">
        <f>TEXT(tblOrders[[#This Row],[OrderDate]],"mmm")</f>
        <v>May</v>
      </c>
    </row>
    <row r="675" spans="1:16" x14ac:dyDescent="0.25">
      <c r="A675" t="s">
        <v>933</v>
      </c>
      <c r="B675" s="2">
        <v>45904</v>
      </c>
      <c r="C675" t="s">
        <v>158</v>
      </c>
      <c r="D675" t="s">
        <v>21</v>
      </c>
      <c r="E675" t="s">
        <v>22</v>
      </c>
      <c r="F675" t="s">
        <v>69</v>
      </c>
      <c r="G675">
        <v>4</v>
      </c>
      <c r="H675">
        <v>12000</v>
      </c>
      <c r="I675">
        <v>0.15</v>
      </c>
      <c r="J675" t="str">
        <f>_xlfn.XLOOKUP(tblOrders[[#This Row],[ProductID]],Products!$A$2:$A$9,Products!$B$2:$B$9,"Unknown")</f>
        <v>Monitor</v>
      </c>
      <c r="K675" t="str">
        <f>_xlfn.XLOOKUP(tblOrders[[#This Row],[ProductID]],Products!$A$2:$A$9,Products!$C$2:$C$9,"Unknown")</f>
        <v>Electronics</v>
      </c>
      <c r="L675">
        <f>_xlfn.XLOOKUP(tblOrders[[#This Row],[ProductID]],Products!$A$2:$A$9,Products!$D$2:$D$9,0)</f>
        <v>9000</v>
      </c>
      <c r="M675">
        <f>tblOrders[[#This Row],[Quantity]]*tblOrders[[#This Row],[UnitPrice]]*(1-tblOrders[[#This Row],[Discount]])</f>
        <v>40800</v>
      </c>
      <c r="N675">
        <f>tblOrders[[#This Row],[Quantity]]*tblOrders[[#This Row],[UnitCost]]</f>
        <v>36000</v>
      </c>
      <c r="O675">
        <f>tblOrders[[#This Row],[Revenue]]-tblOrders[[#This Row],[Cost]]</f>
        <v>4800</v>
      </c>
      <c r="P675" t="str">
        <f>TEXT(tblOrders[[#This Row],[OrderDate]],"mmm")</f>
        <v>Sep</v>
      </c>
    </row>
    <row r="676" spans="1:16" x14ac:dyDescent="0.25">
      <c r="A676" t="s">
        <v>816</v>
      </c>
      <c r="B676" s="2">
        <v>45725</v>
      </c>
      <c r="C676" t="s">
        <v>50</v>
      </c>
      <c r="D676" t="s">
        <v>21</v>
      </c>
      <c r="E676" t="s">
        <v>22</v>
      </c>
      <c r="F676" t="s">
        <v>43</v>
      </c>
      <c r="G676">
        <v>14</v>
      </c>
      <c r="H676">
        <v>1500</v>
      </c>
      <c r="I676">
        <v>0.05</v>
      </c>
      <c r="J676" t="str">
        <f>_xlfn.XLOOKUP(tblOrders[[#This Row],[ProductID]],Products!$A$2:$A$9,Products!$B$2:$B$9,"Unknown")</f>
        <v>Webcam</v>
      </c>
      <c r="K676" t="str">
        <f>_xlfn.XLOOKUP(tblOrders[[#This Row],[ProductID]],Products!$A$2:$A$9,Products!$C$2:$C$9,"Unknown")</f>
        <v>Accessories</v>
      </c>
      <c r="L676">
        <f>_xlfn.XLOOKUP(tblOrders[[#This Row],[ProductID]],Products!$A$2:$A$9,Products!$D$2:$D$9,0)</f>
        <v>980</v>
      </c>
      <c r="M676">
        <f>tblOrders[[#This Row],[Quantity]]*tblOrders[[#This Row],[UnitPrice]]*(1-tblOrders[[#This Row],[Discount]])</f>
        <v>19950</v>
      </c>
      <c r="N676">
        <f>tblOrders[[#This Row],[Quantity]]*tblOrders[[#This Row],[UnitCost]]</f>
        <v>13720</v>
      </c>
      <c r="O676">
        <f>tblOrders[[#This Row],[Revenue]]-tblOrders[[#This Row],[Cost]]</f>
        <v>6230</v>
      </c>
      <c r="P676" t="str">
        <f>TEXT(tblOrders[[#This Row],[OrderDate]],"mmm")</f>
        <v>Mar</v>
      </c>
    </row>
    <row r="677" spans="1:16" x14ac:dyDescent="0.25">
      <c r="A677" t="s">
        <v>761</v>
      </c>
      <c r="B677" s="2">
        <v>45887</v>
      </c>
      <c r="C677" t="s">
        <v>38</v>
      </c>
      <c r="D677" t="s">
        <v>16</v>
      </c>
      <c r="E677" t="s">
        <v>33</v>
      </c>
      <c r="F677" t="s">
        <v>34</v>
      </c>
      <c r="G677">
        <v>11</v>
      </c>
      <c r="H677">
        <v>55000</v>
      </c>
      <c r="I677">
        <v>0.1</v>
      </c>
      <c r="J677" t="str">
        <f>_xlfn.XLOOKUP(tblOrders[[#This Row],[ProductID]],Products!$A$2:$A$9,Products!$B$2:$B$9,"Unknown")</f>
        <v>Laptop</v>
      </c>
      <c r="K677" t="str">
        <f>_xlfn.XLOOKUP(tblOrders[[#This Row],[ProductID]],Products!$A$2:$A$9,Products!$C$2:$C$9,"Unknown")</f>
        <v>Electronics</v>
      </c>
      <c r="L677">
        <f>_xlfn.XLOOKUP(tblOrders[[#This Row],[ProductID]],Products!$A$2:$A$9,Products!$D$2:$D$9,0)</f>
        <v>41000</v>
      </c>
      <c r="M677">
        <f>tblOrders[[#This Row],[Quantity]]*tblOrders[[#This Row],[UnitPrice]]*(1-tblOrders[[#This Row],[Discount]])</f>
        <v>544500</v>
      </c>
      <c r="N677">
        <f>tblOrders[[#This Row],[Quantity]]*tblOrders[[#This Row],[UnitCost]]</f>
        <v>451000</v>
      </c>
      <c r="O677">
        <f>tblOrders[[#This Row],[Revenue]]-tblOrders[[#This Row],[Cost]]</f>
        <v>93500</v>
      </c>
      <c r="P677" t="str">
        <f>TEXT(tblOrders[[#This Row],[OrderDate]],"mmm")</f>
        <v>Aug</v>
      </c>
    </row>
    <row r="678" spans="1:16" x14ac:dyDescent="0.25">
      <c r="A678" t="s">
        <v>114</v>
      </c>
      <c r="B678" s="2">
        <v>46005</v>
      </c>
      <c r="C678" t="s">
        <v>115</v>
      </c>
      <c r="D678" t="s">
        <v>21</v>
      </c>
      <c r="E678" t="s">
        <v>28</v>
      </c>
      <c r="F678" t="s">
        <v>64</v>
      </c>
      <c r="G678">
        <v>12</v>
      </c>
      <c r="H678">
        <v>500</v>
      </c>
      <c r="I678">
        <v>0</v>
      </c>
      <c r="J678" t="str">
        <f>_xlfn.XLOOKUP(tblOrders[[#This Row],[ProductID]],Products!$A$2:$A$9,Products!$B$2:$B$9,"Unknown")</f>
        <v>Mouse</v>
      </c>
      <c r="K678" t="str">
        <f>_xlfn.XLOOKUP(tblOrders[[#This Row],[ProductID]],Products!$A$2:$A$9,Products!$C$2:$C$9,"Unknown")</f>
        <v>Accessories</v>
      </c>
      <c r="L678">
        <f>_xlfn.XLOOKUP(tblOrders[[#This Row],[ProductID]],Products!$A$2:$A$9,Products!$D$2:$D$9,0)</f>
        <v>320</v>
      </c>
      <c r="M678">
        <f>tblOrders[[#This Row],[Quantity]]*tblOrders[[#This Row],[UnitPrice]]*(1-tblOrders[[#This Row],[Discount]])</f>
        <v>6000</v>
      </c>
      <c r="N678">
        <f>tblOrders[[#This Row],[Quantity]]*tblOrders[[#This Row],[UnitCost]]</f>
        <v>3840</v>
      </c>
      <c r="O678">
        <f>tblOrders[[#This Row],[Revenue]]-tblOrders[[#This Row],[Cost]]</f>
        <v>2160</v>
      </c>
      <c r="P678" t="str">
        <f>TEXT(tblOrders[[#This Row],[OrderDate]],"mmm")</f>
        <v>Dec</v>
      </c>
    </row>
    <row r="679" spans="1:16" x14ac:dyDescent="0.25">
      <c r="A679" t="s">
        <v>424</v>
      </c>
      <c r="B679" s="2">
        <v>45826</v>
      </c>
      <c r="C679" t="s">
        <v>138</v>
      </c>
      <c r="D679" t="s">
        <v>11</v>
      </c>
      <c r="E679" t="s">
        <v>46</v>
      </c>
      <c r="F679" t="s">
        <v>13</v>
      </c>
      <c r="G679">
        <v>9</v>
      </c>
      <c r="H679">
        <v>2000</v>
      </c>
      <c r="I679">
        <v>0.1</v>
      </c>
      <c r="J679" t="str">
        <f>_xlfn.XLOOKUP(tblOrders[[#This Row],[ProductID]],Products!$A$2:$A$9,Products!$B$2:$B$9,"Unknown")</f>
        <v>Headset</v>
      </c>
      <c r="K679" t="str">
        <f>_xlfn.XLOOKUP(tblOrders[[#This Row],[ProductID]],Products!$A$2:$A$9,Products!$C$2:$C$9,"Unknown")</f>
        <v>Accessories</v>
      </c>
      <c r="L679">
        <f>_xlfn.XLOOKUP(tblOrders[[#This Row],[ProductID]],Products!$A$2:$A$9,Products!$D$2:$D$9,0)</f>
        <v>1300</v>
      </c>
      <c r="M679">
        <f>tblOrders[[#This Row],[Quantity]]*tblOrders[[#This Row],[UnitPrice]]*(1-tblOrders[[#This Row],[Discount]])</f>
        <v>16200</v>
      </c>
      <c r="N679">
        <f>tblOrders[[#This Row],[Quantity]]*tblOrders[[#This Row],[UnitCost]]</f>
        <v>11700</v>
      </c>
      <c r="O679">
        <f>tblOrders[[#This Row],[Revenue]]-tblOrders[[#This Row],[Cost]]</f>
        <v>4500</v>
      </c>
      <c r="P679" t="str">
        <f>TEXT(tblOrders[[#This Row],[OrderDate]],"mmm")</f>
        <v>Jun</v>
      </c>
    </row>
    <row r="680" spans="1:16" x14ac:dyDescent="0.25">
      <c r="A680" t="s">
        <v>622</v>
      </c>
      <c r="B680" s="2">
        <v>45805</v>
      </c>
      <c r="C680" t="s">
        <v>162</v>
      </c>
      <c r="D680" t="s">
        <v>16</v>
      </c>
      <c r="E680" t="s">
        <v>17</v>
      </c>
      <c r="F680" t="s">
        <v>64</v>
      </c>
      <c r="G680">
        <v>2</v>
      </c>
      <c r="H680">
        <v>500</v>
      </c>
      <c r="I680">
        <v>0.05</v>
      </c>
      <c r="J680" t="str">
        <f>_xlfn.XLOOKUP(tblOrders[[#This Row],[ProductID]],Products!$A$2:$A$9,Products!$B$2:$B$9,"Unknown")</f>
        <v>Mouse</v>
      </c>
      <c r="K680" t="str">
        <f>_xlfn.XLOOKUP(tblOrders[[#This Row],[ProductID]],Products!$A$2:$A$9,Products!$C$2:$C$9,"Unknown")</f>
        <v>Accessories</v>
      </c>
      <c r="L680">
        <f>_xlfn.XLOOKUP(tblOrders[[#This Row],[ProductID]],Products!$A$2:$A$9,Products!$D$2:$D$9,0)</f>
        <v>320</v>
      </c>
      <c r="M680">
        <f>tblOrders[[#This Row],[Quantity]]*tblOrders[[#This Row],[UnitPrice]]*(1-tblOrders[[#This Row],[Discount]])</f>
        <v>950</v>
      </c>
      <c r="N680">
        <f>tblOrders[[#This Row],[Quantity]]*tblOrders[[#This Row],[UnitCost]]</f>
        <v>640</v>
      </c>
      <c r="O680">
        <f>tblOrders[[#This Row],[Revenue]]-tblOrders[[#This Row],[Cost]]</f>
        <v>310</v>
      </c>
      <c r="P680" t="str">
        <f>TEXT(tblOrders[[#This Row],[OrderDate]],"mmm")</f>
        <v>May</v>
      </c>
    </row>
    <row r="681" spans="1:16" x14ac:dyDescent="0.25">
      <c r="A681" t="s">
        <v>458</v>
      </c>
      <c r="B681" s="2">
        <v>45755</v>
      </c>
      <c r="C681" t="s">
        <v>50</v>
      </c>
      <c r="D681" t="s">
        <v>21</v>
      </c>
      <c r="E681" t="s">
        <v>22</v>
      </c>
      <c r="F681" t="s">
        <v>18</v>
      </c>
      <c r="G681">
        <v>2</v>
      </c>
      <c r="H681">
        <v>18000</v>
      </c>
      <c r="I681">
        <v>0.1</v>
      </c>
      <c r="J681" t="str">
        <f>_xlfn.XLOOKUP(tblOrders[[#This Row],[ProductID]],Products!$A$2:$A$9,Products!$B$2:$B$9,"Unknown")</f>
        <v>Tablet</v>
      </c>
      <c r="K681" t="str">
        <f>_xlfn.XLOOKUP(tblOrders[[#This Row],[ProductID]],Products!$A$2:$A$9,Products!$C$2:$C$9,"Unknown")</f>
        <v>Electronics</v>
      </c>
      <c r="L681">
        <f>_xlfn.XLOOKUP(tblOrders[[#This Row],[ProductID]],Products!$A$2:$A$9,Products!$D$2:$D$9,0)</f>
        <v>13500</v>
      </c>
      <c r="M681">
        <f>tblOrders[[#This Row],[Quantity]]*tblOrders[[#This Row],[UnitPrice]]*(1-tblOrders[[#This Row],[Discount]])</f>
        <v>32400</v>
      </c>
      <c r="N681">
        <f>tblOrders[[#This Row],[Quantity]]*tblOrders[[#This Row],[UnitCost]]</f>
        <v>27000</v>
      </c>
      <c r="O681">
        <f>tblOrders[[#This Row],[Revenue]]-tblOrders[[#This Row],[Cost]]</f>
        <v>5400</v>
      </c>
      <c r="P681" t="str">
        <f>TEXT(tblOrders[[#This Row],[OrderDate]],"mmm")</f>
        <v>Apr</v>
      </c>
    </row>
    <row r="682" spans="1:16" x14ac:dyDescent="0.25">
      <c r="A682" t="s">
        <v>1015</v>
      </c>
      <c r="B682" s="2">
        <v>45899</v>
      </c>
      <c r="C682" t="s">
        <v>135</v>
      </c>
      <c r="D682" t="s">
        <v>11</v>
      </c>
      <c r="E682" t="s">
        <v>46</v>
      </c>
      <c r="F682" t="s">
        <v>34</v>
      </c>
      <c r="G682">
        <v>12</v>
      </c>
      <c r="H682">
        <v>55000</v>
      </c>
      <c r="I682">
        <v>0.1</v>
      </c>
      <c r="J682" t="str">
        <f>_xlfn.XLOOKUP(tblOrders[[#This Row],[ProductID]],Products!$A$2:$A$9,Products!$B$2:$B$9,"Unknown")</f>
        <v>Laptop</v>
      </c>
      <c r="K682" t="str">
        <f>_xlfn.XLOOKUP(tblOrders[[#This Row],[ProductID]],Products!$A$2:$A$9,Products!$C$2:$C$9,"Unknown")</f>
        <v>Electronics</v>
      </c>
      <c r="L682">
        <f>_xlfn.XLOOKUP(tblOrders[[#This Row],[ProductID]],Products!$A$2:$A$9,Products!$D$2:$D$9,0)</f>
        <v>41000</v>
      </c>
      <c r="M682">
        <f>tblOrders[[#This Row],[Quantity]]*tblOrders[[#This Row],[UnitPrice]]*(1-tblOrders[[#This Row],[Discount]])</f>
        <v>594000</v>
      </c>
      <c r="N682">
        <f>tblOrders[[#This Row],[Quantity]]*tblOrders[[#This Row],[UnitCost]]</f>
        <v>492000</v>
      </c>
      <c r="O682">
        <f>tblOrders[[#This Row],[Revenue]]-tblOrders[[#This Row],[Cost]]</f>
        <v>102000</v>
      </c>
      <c r="P682" t="str">
        <f>TEXT(tblOrders[[#This Row],[OrderDate]],"mmm")</f>
        <v>Aug</v>
      </c>
    </row>
    <row r="683" spans="1:16" x14ac:dyDescent="0.25">
      <c r="A683" t="s">
        <v>373</v>
      </c>
      <c r="B683" s="2">
        <v>45809</v>
      </c>
      <c r="C683" t="s">
        <v>61</v>
      </c>
      <c r="D683" t="s">
        <v>16</v>
      </c>
      <c r="E683" t="s">
        <v>17</v>
      </c>
      <c r="F683" t="s">
        <v>55</v>
      </c>
      <c r="G683">
        <v>2</v>
      </c>
      <c r="H683">
        <v>8000</v>
      </c>
      <c r="I683">
        <v>0</v>
      </c>
      <c r="J683" t="str">
        <f>_xlfn.XLOOKUP(tblOrders[[#This Row],[ProductID]],Products!$A$2:$A$9,Products!$B$2:$B$9,"Unknown")</f>
        <v>Printer</v>
      </c>
      <c r="K683" t="str">
        <f>_xlfn.XLOOKUP(tblOrders[[#This Row],[ProductID]],Products!$A$2:$A$9,Products!$C$2:$C$9,"Unknown")</f>
        <v>Electronics</v>
      </c>
      <c r="L683">
        <f>_xlfn.XLOOKUP(tblOrders[[#This Row],[ProductID]],Products!$A$2:$A$9,Products!$D$2:$D$9,0)</f>
        <v>6200</v>
      </c>
      <c r="M683">
        <f>tblOrders[[#This Row],[Quantity]]*tblOrders[[#This Row],[UnitPrice]]*(1-tblOrders[[#This Row],[Discount]])</f>
        <v>16000</v>
      </c>
      <c r="N683">
        <f>tblOrders[[#This Row],[Quantity]]*tblOrders[[#This Row],[UnitCost]]</f>
        <v>12400</v>
      </c>
      <c r="O683">
        <f>tblOrders[[#This Row],[Revenue]]-tblOrders[[#This Row],[Cost]]</f>
        <v>3600</v>
      </c>
      <c r="P683" t="str">
        <f>TEXT(tblOrders[[#This Row],[OrderDate]],"mmm")</f>
        <v>Jun</v>
      </c>
    </row>
    <row r="684" spans="1:16" x14ac:dyDescent="0.25">
      <c r="A684" t="s">
        <v>321</v>
      </c>
      <c r="B684" s="2">
        <v>45672</v>
      </c>
      <c r="C684" t="s">
        <v>160</v>
      </c>
      <c r="D684" t="s">
        <v>11</v>
      </c>
      <c r="E684" t="s">
        <v>46</v>
      </c>
      <c r="F684" t="s">
        <v>43</v>
      </c>
      <c r="G684">
        <v>10</v>
      </c>
      <c r="H684">
        <v>1500</v>
      </c>
      <c r="I684">
        <v>0.05</v>
      </c>
      <c r="J684" t="str">
        <f>_xlfn.XLOOKUP(tblOrders[[#This Row],[ProductID]],Products!$A$2:$A$9,Products!$B$2:$B$9,"Unknown")</f>
        <v>Webcam</v>
      </c>
      <c r="K684" t="str">
        <f>_xlfn.XLOOKUP(tblOrders[[#This Row],[ProductID]],Products!$A$2:$A$9,Products!$C$2:$C$9,"Unknown")</f>
        <v>Accessories</v>
      </c>
      <c r="L684">
        <f>_xlfn.XLOOKUP(tblOrders[[#This Row],[ProductID]],Products!$A$2:$A$9,Products!$D$2:$D$9,0)</f>
        <v>980</v>
      </c>
      <c r="M684">
        <f>tblOrders[[#This Row],[Quantity]]*tblOrders[[#This Row],[UnitPrice]]*(1-tblOrders[[#This Row],[Discount]])</f>
        <v>14250</v>
      </c>
      <c r="N684">
        <f>tblOrders[[#This Row],[Quantity]]*tblOrders[[#This Row],[UnitCost]]</f>
        <v>9800</v>
      </c>
      <c r="O684">
        <f>tblOrders[[#This Row],[Revenue]]-tblOrders[[#This Row],[Cost]]</f>
        <v>4450</v>
      </c>
      <c r="P684" t="str">
        <f>TEXT(tblOrders[[#This Row],[OrderDate]],"mmm")</f>
        <v>Jan</v>
      </c>
    </row>
    <row r="685" spans="1:16" x14ac:dyDescent="0.25">
      <c r="A685" t="s">
        <v>1072</v>
      </c>
      <c r="B685" s="2">
        <v>45938</v>
      </c>
      <c r="C685" t="s">
        <v>105</v>
      </c>
      <c r="D685" t="s">
        <v>16</v>
      </c>
      <c r="E685" t="s">
        <v>33</v>
      </c>
      <c r="F685" t="s">
        <v>23</v>
      </c>
      <c r="G685">
        <v>14</v>
      </c>
      <c r="H685">
        <v>900</v>
      </c>
      <c r="I685">
        <v>0</v>
      </c>
      <c r="J685" t="str">
        <f>_xlfn.XLOOKUP(tblOrders[[#This Row],[ProductID]],Products!$A$2:$A$9,Products!$B$2:$B$9,"Unknown")</f>
        <v>Keyboard</v>
      </c>
      <c r="K685" t="str">
        <f>_xlfn.XLOOKUP(tblOrders[[#This Row],[ProductID]],Products!$A$2:$A$9,Products!$C$2:$C$9,"Unknown")</f>
        <v>Accessories</v>
      </c>
      <c r="L685">
        <f>_xlfn.XLOOKUP(tblOrders[[#This Row],[ProductID]],Products!$A$2:$A$9,Products!$D$2:$D$9,0)</f>
        <v>600</v>
      </c>
      <c r="M685">
        <f>tblOrders[[#This Row],[Quantity]]*tblOrders[[#This Row],[UnitPrice]]*(1-tblOrders[[#This Row],[Discount]])</f>
        <v>12600</v>
      </c>
      <c r="N685">
        <f>tblOrders[[#This Row],[Quantity]]*tblOrders[[#This Row],[UnitCost]]</f>
        <v>8400</v>
      </c>
      <c r="O685">
        <f>tblOrders[[#This Row],[Revenue]]-tblOrders[[#This Row],[Cost]]</f>
        <v>4200</v>
      </c>
      <c r="P685" t="str">
        <f>TEXT(tblOrders[[#This Row],[OrderDate]],"mmm")</f>
        <v>Oct</v>
      </c>
    </row>
    <row r="686" spans="1:16" x14ac:dyDescent="0.25">
      <c r="A686" t="s">
        <v>267</v>
      </c>
      <c r="B686" s="2">
        <v>45710</v>
      </c>
      <c r="C686" t="s">
        <v>153</v>
      </c>
      <c r="D686" t="s">
        <v>39</v>
      </c>
      <c r="E686" t="s">
        <v>40</v>
      </c>
      <c r="F686" t="s">
        <v>34</v>
      </c>
      <c r="G686">
        <v>6</v>
      </c>
      <c r="H686">
        <v>55000</v>
      </c>
      <c r="I686">
        <v>0.1</v>
      </c>
      <c r="J686" t="str">
        <f>_xlfn.XLOOKUP(tblOrders[[#This Row],[ProductID]],Products!$A$2:$A$9,Products!$B$2:$B$9,"Unknown")</f>
        <v>Laptop</v>
      </c>
      <c r="K686" t="str">
        <f>_xlfn.XLOOKUP(tblOrders[[#This Row],[ProductID]],Products!$A$2:$A$9,Products!$C$2:$C$9,"Unknown")</f>
        <v>Electronics</v>
      </c>
      <c r="L686">
        <f>_xlfn.XLOOKUP(tblOrders[[#This Row],[ProductID]],Products!$A$2:$A$9,Products!$D$2:$D$9,0)</f>
        <v>41000</v>
      </c>
      <c r="M686">
        <f>tblOrders[[#This Row],[Quantity]]*tblOrders[[#This Row],[UnitPrice]]*(1-tblOrders[[#This Row],[Discount]])</f>
        <v>297000</v>
      </c>
      <c r="N686">
        <f>tblOrders[[#This Row],[Quantity]]*tblOrders[[#This Row],[UnitCost]]</f>
        <v>246000</v>
      </c>
      <c r="O686">
        <f>tblOrders[[#This Row],[Revenue]]-tblOrders[[#This Row],[Cost]]</f>
        <v>51000</v>
      </c>
      <c r="P686" t="str">
        <f>TEXT(tblOrders[[#This Row],[OrderDate]],"mmm")</f>
        <v>Feb</v>
      </c>
    </row>
    <row r="687" spans="1:16" x14ac:dyDescent="0.25">
      <c r="A687" t="s">
        <v>556</v>
      </c>
      <c r="B687" s="2">
        <v>45782</v>
      </c>
      <c r="C687" t="s">
        <v>48</v>
      </c>
      <c r="D687" t="s">
        <v>11</v>
      </c>
      <c r="E687" t="s">
        <v>12</v>
      </c>
      <c r="F687" t="s">
        <v>55</v>
      </c>
      <c r="G687">
        <v>6</v>
      </c>
      <c r="H687">
        <v>8000</v>
      </c>
      <c r="I687">
        <v>0.15</v>
      </c>
      <c r="J687" t="str">
        <f>_xlfn.XLOOKUP(tblOrders[[#This Row],[ProductID]],Products!$A$2:$A$9,Products!$B$2:$B$9,"Unknown")</f>
        <v>Printer</v>
      </c>
      <c r="K687" t="str">
        <f>_xlfn.XLOOKUP(tblOrders[[#This Row],[ProductID]],Products!$A$2:$A$9,Products!$C$2:$C$9,"Unknown")</f>
        <v>Electronics</v>
      </c>
      <c r="L687">
        <f>_xlfn.XLOOKUP(tblOrders[[#This Row],[ProductID]],Products!$A$2:$A$9,Products!$D$2:$D$9,0)</f>
        <v>6200</v>
      </c>
      <c r="M687">
        <f>tblOrders[[#This Row],[Quantity]]*tblOrders[[#This Row],[UnitPrice]]*(1-tblOrders[[#This Row],[Discount]])</f>
        <v>40800</v>
      </c>
      <c r="N687">
        <f>tblOrders[[#This Row],[Quantity]]*tblOrders[[#This Row],[UnitCost]]</f>
        <v>37200</v>
      </c>
      <c r="O687">
        <f>tblOrders[[#This Row],[Revenue]]-tblOrders[[#This Row],[Cost]]</f>
        <v>3600</v>
      </c>
      <c r="P687" t="str">
        <f>TEXT(tblOrders[[#This Row],[OrderDate]],"mmm")</f>
        <v>May</v>
      </c>
    </row>
    <row r="688" spans="1:16" x14ac:dyDescent="0.25">
      <c r="A688" t="s">
        <v>827</v>
      </c>
      <c r="B688" s="2">
        <v>45783</v>
      </c>
      <c r="C688" t="s">
        <v>42</v>
      </c>
      <c r="D688" t="s">
        <v>16</v>
      </c>
      <c r="E688" t="s">
        <v>17</v>
      </c>
      <c r="F688" t="s">
        <v>69</v>
      </c>
      <c r="G688">
        <v>9</v>
      </c>
      <c r="H688">
        <v>12000</v>
      </c>
      <c r="I688">
        <v>0.05</v>
      </c>
      <c r="J688" t="str">
        <f>_xlfn.XLOOKUP(tblOrders[[#This Row],[ProductID]],Products!$A$2:$A$9,Products!$B$2:$B$9,"Unknown")</f>
        <v>Monitor</v>
      </c>
      <c r="K688" t="str">
        <f>_xlfn.XLOOKUP(tblOrders[[#This Row],[ProductID]],Products!$A$2:$A$9,Products!$C$2:$C$9,"Unknown")</f>
        <v>Electronics</v>
      </c>
      <c r="L688">
        <f>_xlfn.XLOOKUP(tblOrders[[#This Row],[ProductID]],Products!$A$2:$A$9,Products!$D$2:$D$9,0)</f>
        <v>9000</v>
      </c>
      <c r="M688">
        <f>tblOrders[[#This Row],[Quantity]]*tblOrders[[#This Row],[UnitPrice]]*(1-tblOrders[[#This Row],[Discount]])</f>
        <v>102600</v>
      </c>
      <c r="N688">
        <f>tblOrders[[#This Row],[Quantity]]*tblOrders[[#This Row],[UnitCost]]</f>
        <v>81000</v>
      </c>
      <c r="O688">
        <f>tblOrders[[#This Row],[Revenue]]-tblOrders[[#This Row],[Cost]]</f>
        <v>21600</v>
      </c>
      <c r="P688" t="str">
        <f>TEXT(tblOrders[[#This Row],[OrderDate]],"mmm")</f>
        <v>May</v>
      </c>
    </row>
    <row r="689" spans="1:16" x14ac:dyDescent="0.25">
      <c r="A689" t="s">
        <v>667</v>
      </c>
      <c r="B689" s="2">
        <v>45768</v>
      </c>
      <c r="C689" t="s">
        <v>48</v>
      </c>
      <c r="D689" t="s">
        <v>39</v>
      </c>
      <c r="E689" t="s">
        <v>40</v>
      </c>
      <c r="F689" t="s">
        <v>34</v>
      </c>
      <c r="G689">
        <v>14</v>
      </c>
      <c r="H689">
        <v>55000</v>
      </c>
      <c r="I689">
        <v>0</v>
      </c>
      <c r="J689" t="str">
        <f>_xlfn.XLOOKUP(tblOrders[[#This Row],[ProductID]],Products!$A$2:$A$9,Products!$B$2:$B$9,"Unknown")</f>
        <v>Laptop</v>
      </c>
      <c r="K689" t="str">
        <f>_xlfn.XLOOKUP(tblOrders[[#This Row],[ProductID]],Products!$A$2:$A$9,Products!$C$2:$C$9,"Unknown")</f>
        <v>Electronics</v>
      </c>
      <c r="L689">
        <f>_xlfn.XLOOKUP(tblOrders[[#This Row],[ProductID]],Products!$A$2:$A$9,Products!$D$2:$D$9,0)</f>
        <v>41000</v>
      </c>
      <c r="M689">
        <f>tblOrders[[#This Row],[Quantity]]*tblOrders[[#This Row],[UnitPrice]]*(1-tblOrders[[#This Row],[Discount]])</f>
        <v>770000</v>
      </c>
      <c r="N689">
        <f>tblOrders[[#This Row],[Quantity]]*tblOrders[[#This Row],[UnitCost]]</f>
        <v>574000</v>
      </c>
      <c r="O689">
        <f>tblOrders[[#This Row],[Revenue]]-tblOrders[[#This Row],[Cost]]</f>
        <v>196000</v>
      </c>
      <c r="P689" t="str">
        <f>TEXT(tblOrders[[#This Row],[OrderDate]],"mmm")</f>
        <v>Apr</v>
      </c>
    </row>
    <row r="690" spans="1:16" x14ac:dyDescent="0.25">
      <c r="A690" t="s">
        <v>1039</v>
      </c>
      <c r="B690" s="2">
        <v>45692</v>
      </c>
      <c r="C690" t="s">
        <v>38</v>
      </c>
      <c r="D690" t="s">
        <v>11</v>
      </c>
      <c r="E690" t="s">
        <v>46</v>
      </c>
      <c r="F690" t="s">
        <v>23</v>
      </c>
      <c r="G690">
        <v>11</v>
      </c>
      <c r="H690">
        <v>900</v>
      </c>
      <c r="I690">
        <v>0</v>
      </c>
      <c r="J690" t="str">
        <f>_xlfn.XLOOKUP(tblOrders[[#This Row],[ProductID]],Products!$A$2:$A$9,Products!$B$2:$B$9,"Unknown")</f>
        <v>Keyboard</v>
      </c>
      <c r="K690" t="str">
        <f>_xlfn.XLOOKUP(tblOrders[[#This Row],[ProductID]],Products!$A$2:$A$9,Products!$C$2:$C$9,"Unknown")</f>
        <v>Accessories</v>
      </c>
      <c r="L690">
        <f>_xlfn.XLOOKUP(tblOrders[[#This Row],[ProductID]],Products!$A$2:$A$9,Products!$D$2:$D$9,0)</f>
        <v>600</v>
      </c>
      <c r="M690">
        <f>tblOrders[[#This Row],[Quantity]]*tblOrders[[#This Row],[UnitPrice]]*(1-tblOrders[[#This Row],[Discount]])</f>
        <v>9900</v>
      </c>
      <c r="N690">
        <f>tblOrders[[#This Row],[Quantity]]*tblOrders[[#This Row],[UnitCost]]</f>
        <v>6600</v>
      </c>
      <c r="O690">
        <f>tblOrders[[#This Row],[Revenue]]-tblOrders[[#This Row],[Cost]]</f>
        <v>3300</v>
      </c>
      <c r="P690" t="str">
        <f>TEXT(tblOrders[[#This Row],[OrderDate]],"mmm")</f>
        <v>Feb</v>
      </c>
    </row>
    <row r="691" spans="1:16" x14ac:dyDescent="0.25">
      <c r="A691" t="s">
        <v>656</v>
      </c>
      <c r="B691" s="2">
        <v>45700</v>
      </c>
      <c r="C691" t="s">
        <v>66</v>
      </c>
      <c r="D691" t="s">
        <v>16</v>
      </c>
      <c r="E691" t="s">
        <v>17</v>
      </c>
      <c r="F691" t="s">
        <v>34</v>
      </c>
      <c r="G691">
        <v>4</v>
      </c>
      <c r="H691">
        <v>55000</v>
      </c>
      <c r="I691">
        <v>0.05</v>
      </c>
      <c r="J691" t="str">
        <f>_xlfn.XLOOKUP(tblOrders[[#This Row],[ProductID]],Products!$A$2:$A$9,Products!$B$2:$B$9,"Unknown")</f>
        <v>Laptop</v>
      </c>
      <c r="K691" t="str">
        <f>_xlfn.XLOOKUP(tblOrders[[#This Row],[ProductID]],Products!$A$2:$A$9,Products!$C$2:$C$9,"Unknown")</f>
        <v>Electronics</v>
      </c>
      <c r="L691">
        <f>_xlfn.XLOOKUP(tblOrders[[#This Row],[ProductID]],Products!$A$2:$A$9,Products!$D$2:$D$9,0)</f>
        <v>41000</v>
      </c>
      <c r="M691">
        <f>tblOrders[[#This Row],[Quantity]]*tblOrders[[#This Row],[UnitPrice]]*(1-tblOrders[[#This Row],[Discount]])</f>
        <v>209000</v>
      </c>
      <c r="N691">
        <f>tblOrders[[#This Row],[Quantity]]*tblOrders[[#This Row],[UnitCost]]</f>
        <v>164000</v>
      </c>
      <c r="O691">
        <f>tblOrders[[#This Row],[Revenue]]-tblOrders[[#This Row],[Cost]]</f>
        <v>45000</v>
      </c>
      <c r="P691" t="str">
        <f>TEXT(tblOrders[[#This Row],[OrderDate]],"mmm")</f>
        <v>Feb</v>
      </c>
    </row>
    <row r="692" spans="1:16" x14ac:dyDescent="0.25">
      <c r="A692" t="s">
        <v>692</v>
      </c>
      <c r="B692" s="2">
        <v>45707</v>
      </c>
      <c r="C692" t="s">
        <v>59</v>
      </c>
      <c r="D692" t="s">
        <v>16</v>
      </c>
      <c r="E692" t="s">
        <v>17</v>
      </c>
      <c r="F692" t="s">
        <v>23</v>
      </c>
      <c r="G692">
        <v>1</v>
      </c>
      <c r="H692">
        <v>900</v>
      </c>
      <c r="I692">
        <v>0</v>
      </c>
      <c r="J692" t="str">
        <f>_xlfn.XLOOKUP(tblOrders[[#This Row],[ProductID]],Products!$A$2:$A$9,Products!$B$2:$B$9,"Unknown")</f>
        <v>Keyboard</v>
      </c>
      <c r="K692" t="str">
        <f>_xlfn.XLOOKUP(tblOrders[[#This Row],[ProductID]],Products!$A$2:$A$9,Products!$C$2:$C$9,"Unknown")</f>
        <v>Accessories</v>
      </c>
      <c r="L692">
        <f>_xlfn.XLOOKUP(tblOrders[[#This Row],[ProductID]],Products!$A$2:$A$9,Products!$D$2:$D$9,0)</f>
        <v>600</v>
      </c>
      <c r="M692">
        <f>tblOrders[[#This Row],[Quantity]]*tblOrders[[#This Row],[UnitPrice]]*(1-tblOrders[[#This Row],[Discount]])</f>
        <v>900</v>
      </c>
      <c r="N692">
        <f>tblOrders[[#This Row],[Quantity]]*tblOrders[[#This Row],[UnitCost]]</f>
        <v>600</v>
      </c>
      <c r="O692">
        <f>tblOrders[[#This Row],[Revenue]]-tblOrders[[#This Row],[Cost]]</f>
        <v>300</v>
      </c>
      <c r="P692" t="str">
        <f>TEXT(tblOrders[[#This Row],[OrderDate]],"mmm")</f>
        <v>Feb</v>
      </c>
    </row>
    <row r="693" spans="1:16" x14ac:dyDescent="0.25">
      <c r="A693" t="s">
        <v>359</v>
      </c>
      <c r="B693" s="2">
        <v>45792</v>
      </c>
      <c r="C693" t="s">
        <v>15</v>
      </c>
      <c r="D693" t="s">
        <v>39</v>
      </c>
      <c r="E693" t="s">
        <v>76</v>
      </c>
      <c r="F693" t="s">
        <v>18</v>
      </c>
      <c r="G693">
        <v>4</v>
      </c>
      <c r="H693">
        <v>18000</v>
      </c>
      <c r="I693">
        <v>0.1</v>
      </c>
      <c r="J693" t="str">
        <f>_xlfn.XLOOKUP(tblOrders[[#This Row],[ProductID]],Products!$A$2:$A$9,Products!$B$2:$B$9,"Unknown")</f>
        <v>Tablet</v>
      </c>
      <c r="K693" t="str">
        <f>_xlfn.XLOOKUP(tblOrders[[#This Row],[ProductID]],Products!$A$2:$A$9,Products!$C$2:$C$9,"Unknown")</f>
        <v>Electronics</v>
      </c>
      <c r="L693">
        <f>_xlfn.XLOOKUP(tblOrders[[#This Row],[ProductID]],Products!$A$2:$A$9,Products!$D$2:$D$9,0)</f>
        <v>13500</v>
      </c>
      <c r="M693">
        <f>tblOrders[[#This Row],[Quantity]]*tblOrders[[#This Row],[UnitPrice]]*(1-tblOrders[[#This Row],[Discount]])</f>
        <v>64800</v>
      </c>
      <c r="N693">
        <f>tblOrders[[#This Row],[Quantity]]*tblOrders[[#This Row],[UnitCost]]</f>
        <v>54000</v>
      </c>
      <c r="O693">
        <f>tblOrders[[#This Row],[Revenue]]-tblOrders[[#This Row],[Cost]]</f>
        <v>10800</v>
      </c>
      <c r="P693" t="str">
        <f>TEXT(tblOrders[[#This Row],[OrderDate]],"mmm")</f>
        <v>May</v>
      </c>
    </row>
    <row r="694" spans="1:16" x14ac:dyDescent="0.25">
      <c r="A694" t="s">
        <v>689</v>
      </c>
      <c r="B694" s="2">
        <v>45659</v>
      </c>
      <c r="C694" t="s">
        <v>103</v>
      </c>
      <c r="D694" t="s">
        <v>39</v>
      </c>
      <c r="E694" t="s">
        <v>76</v>
      </c>
      <c r="F694" t="s">
        <v>55</v>
      </c>
      <c r="G694">
        <v>12</v>
      </c>
      <c r="H694">
        <v>8000</v>
      </c>
      <c r="I694">
        <v>0.05</v>
      </c>
      <c r="J694" t="str">
        <f>_xlfn.XLOOKUP(tblOrders[[#This Row],[ProductID]],Products!$A$2:$A$9,Products!$B$2:$B$9,"Unknown")</f>
        <v>Printer</v>
      </c>
      <c r="K694" t="str">
        <f>_xlfn.XLOOKUP(tblOrders[[#This Row],[ProductID]],Products!$A$2:$A$9,Products!$C$2:$C$9,"Unknown")</f>
        <v>Electronics</v>
      </c>
      <c r="L694">
        <f>_xlfn.XLOOKUP(tblOrders[[#This Row],[ProductID]],Products!$A$2:$A$9,Products!$D$2:$D$9,0)</f>
        <v>6200</v>
      </c>
      <c r="M694">
        <f>tblOrders[[#This Row],[Quantity]]*tblOrders[[#This Row],[UnitPrice]]*(1-tblOrders[[#This Row],[Discount]])</f>
        <v>91200</v>
      </c>
      <c r="N694">
        <f>tblOrders[[#This Row],[Quantity]]*tblOrders[[#This Row],[UnitCost]]</f>
        <v>74400</v>
      </c>
      <c r="O694">
        <f>tblOrders[[#This Row],[Revenue]]-tblOrders[[#This Row],[Cost]]</f>
        <v>16800</v>
      </c>
      <c r="P694" t="str">
        <f>TEXT(tblOrders[[#This Row],[OrderDate]],"mmm")</f>
        <v>Jan</v>
      </c>
    </row>
    <row r="695" spans="1:16" x14ac:dyDescent="0.25">
      <c r="A695" t="s">
        <v>332</v>
      </c>
      <c r="B695" s="2">
        <v>45772</v>
      </c>
      <c r="C695" t="s">
        <v>333</v>
      </c>
      <c r="D695" t="s">
        <v>11</v>
      </c>
      <c r="E695" t="s">
        <v>12</v>
      </c>
      <c r="F695" t="s">
        <v>18</v>
      </c>
      <c r="G695">
        <v>8</v>
      </c>
      <c r="H695">
        <v>18000</v>
      </c>
      <c r="I695">
        <v>0</v>
      </c>
      <c r="J695" t="str">
        <f>_xlfn.XLOOKUP(tblOrders[[#This Row],[ProductID]],Products!$A$2:$A$9,Products!$B$2:$B$9,"Unknown")</f>
        <v>Tablet</v>
      </c>
      <c r="K695" t="str">
        <f>_xlfn.XLOOKUP(tblOrders[[#This Row],[ProductID]],Products!$A$2:$A$9,Products!$C$2:$C$9,"Unknown")</f>
        <v>Electronics</v>
      </c>
      <c r="L695">
        <f>_xlfn.XLOOKUP(tblOrders[[#This Row],[ProductID]],Products!$A$2:$A$9,Products!$D$2:$D$9,0)</f>
        <v>13500</v>
      </c>
      <c r="M695">
        <f>tblOrders[[#This Row],[Quantity]]*tblOrders[[#This Row],[UnitPrice]]*(1-tblOrders[[#This Row],[Discount]])</f>
        <v>144000</v>
      </c>
      <c r="N695">
        <f>tblOrders[[#This Row],[Quantity]]*tblOrders[[#This Row],[UnitCost]]</f>
        <v>108000</v>
      </c>
      <c r="O695">
        <f>tblOrders[[#This Row],[Revenue]]-tblOrders[[#This Row],[Cost]]</f>
        <v>36000</v>
      </c>
      <c r="P695" t="str">
        <f>TEXT(tblOrders[[#This Row],[OrderDate]],"mmm")</f>
        <v>Apr</v>
      </c>
    </row>
    <row r="696" spans="1:16" x14ac:dyDescent="0.25">
      <c r="A696" t="s">
        <v>650</v>
      </c>
      <c r="B696" s="2">
        <v>45918</v>
      </c>
      <c r="C696" t="s">
        <v>195</v>
      </c>
      <c r="D696" t="s">
        <v>16</v>
      </c>
      <c r="E696" t="s">
        <v>17</v>
      </c>
      <c r="F696" t="s">
        <v>13</v>
      </c>
      <c r="G696">
        <v>14</v>
      </c>
      <c r="H696">
        <v>2000</v>
      </c>
      <c r="I696">
        <v>0</v>
      </c>
      <c r="J696" t="str">
        <f>_xlfn.XLOOKUP(tblOrders[[#This Row],[ProductID]],Products!$A$2:$A$9,Products!$B$2:$B$9,"Unknown")</f>
        <v>Headset</v>
      </c>
      <c r="K696" t="str">
        <f>_xlfn.XLOOKUP(tblOrders[[#This Row],[ProductID]],Products!$A$2:$A$9,Products!$C$2:$C$9,"Unknown")</f>
        <v>Accessories</v>
      </c>
      <c r="L696">
        <f>_xlfn.XLOOKUP(tblOrders[[#This Row],[ProductID]],Products!$A$2:$A$9,Products!$D$2:$D$9,0)</f>
        <v>1300</v>
      </c>
      <c r="M696">
        <f>tblOrders[[#This Row],[Quantity]]*tblOrders[[#This Row],[UnitPrice]]*(1-tblOrders[[#This Row],[Discount]])</f>
        <v>28000</v>
      </c>
      <c r="N696">
        <f>tblOrders[[#This Row],[Quantity]]*tblOrders[[#This Row],[UnitCost]]</f>
        <v>18200</v>
      </c>
      <c r="O696">
        <f>tblOrders[[#This Row],[Revenue]]-tblOrders[[#This Row],[Cost]]</f>
        <v>9800</v>
      </c>
      <c r="P696" t="str">
        <f>TEXT(tblOrders[[#This Row],[OrderDate]],"mmm")</f>
        <v>Sep</v>
      </c>
    </row>
    <row r="697" spans="1:16" x14ac:dyDescent="0.25">
      <c r="A697" t="s">
        <v>733</v>
      </c>
      <c r="B697" s="2">
        <v>45684</v>
      </c>
      <c r="C697" t="s">
        <v>130</v>
      </c>
      <c r="D697" t="s">
        <v>39</v>
      </c>
      <c r="E697" t="s">
        <v>76</v>
      </c>
      <c r="F697" t="s">
        <v>13</v>
      </c>
      <c r="G697">
        <v>4</v>
      </c>
      <c r="H697">
        <v>2000</v>
      </c>
      <c r="I697">
        <v>0</v>
      </c>
      <c r="J697" t="str">
        <f>_xlfn.XLOOKUP(tblOrders[[#This Row],[ProductID]],Products!$A$2:$A$9,Products!$B$2:$B$9,"Unknown")</f>
        <v>Headset</v>
      </c>
      <c r="K697" t="str">
        <f>_xlfn.XLOOKUP(tblOrders[[#This Row],[ProductID]],Products!$A$2:$A$9,Products!$C$2:$C$9,"Unknown")</f>
        <v>Accessories</v>
      </c>
      <c r="L697">
        <f>_xlfn.XLOOKUP(tblOrders[[#This Row],[ProductID]],Products!$A$2:$A$9,Products!$D$2:$D$9,0)</f>
        <v>1300</v>
      </c>
      <c r="M697">
        <f>tblOrders[[#This Row],[Quantity]]*tblOrders[[#This Row],[UnitPrice]]*(1-tblOrders[[#This Row],[Discount]])</f>
        <v>8000</v>
      </c>
      <c r="N697">
        <f>tblOrders[[#This Row],[Quantity]]*tblOrders[[#This Row],[UnitCost]]</f>
        <v>5200</v>
      </c>
      <c r="O697">
        <f>tblOrders[[#This Row],[Revenue]]-tblOrders[[#This Row],[Cost]]</f>
        <v>2800</v>
      </c>
      <c r="P697" t="str">
        <f>TEXT(tblOrders[[#This Row],[OrderDate]],"mmm")</f>
        <v>Jan</v>
      </c>
    </row>
    <row r="698" spans="1:16" x14ac:dyDescent="0.25">
      <c r="A698" t="s">
        <v>830</v>
      </c>
      <c r="B698" s="2">
        <v>45945</v>
      </c>
      <c r="C698" t="s">
        <v>45</v>
      </c>
      <c r="D698" t="s">
        <v>11</v>
      </c>
      <c r="E698" t="s">
        <v>12</v>
      </c>
      <c r="F698" t="s">
        <v>34</v>
      </c>
      <c r="G698">
        <v>4</v>
      </c>
      <c r="H698">
        <v>55000</v>
      </c>
      <c r="I698">
        <v>0</v>
      </c>
      <c r="J698" t="str">
        <f>_xlfn.XLOOKUP(tblOrders[[#This Row],[ProductID]],Products!$A$2:$A$9,Products!$B$2:$B$9,"Unknown")</f>
        <v>Laptop</v>
      </c>
      <c r="K698" t="str">
        <f>_xlfn.XLOOKUP(tblOrders[[#This Row],[ProductID]],Products!$A$2:$A$9,Products!$C$2:$C$9,"Unknown")</f>
        <v>Electronics</v>
      </c>
      <c r="L698">
        <f>_xlfn.XLOOKUP(tblOrders[[#This Row],[ProductID]],Products!$A$2:$A$9,Products!$D$2:$D$9,0)</f>
        <v>41000</v>
      </c>
      <c r="M698">
        <f>tblOrders[[#This Row],[Quantity]]*tblOrders[[#This Row],[UnitPrice]]*(1-tblOrders[[#This Row],[Discount]])</f>
        <v>220000</v>
      </c>
      <c r="N698">
        <f>tblOrders[[#This Row],[Quantity]]*tblOrders[[#This Row],[UnitCost]]</f>
        <v>164000</v>
      </c>
      <c r="O698">
        <f>tblOrders[[#This Row],[Revenue]]-tblOrders[[#This Row],[Cost]]</f>
        <v>56000</v>
      </c>
      <c r="P698" t="str">
        <f>TEXT(tblOrders[[#This Row],[OrderDate]],"mmm")</f>
        <v>Oct</v>
      </c>
    </row>
    <row r="699" spans="1:16" x14ac:dyDescent="0.25">
      <c r="A699" t="s">
        <v>37</v>
      </c>
      <c r="B699" s="2">
        <v>45835</v>
      </c>
      <c r="C699" t="s">
        <v>38</v>
      </c>
      <c r="D699" t="s">
        <v>39</v>
      </c>
      <c r="E699" t="s">
        <v>40</v>
      </c>
      <c r="F699" t="s">
        <v>13</v>
      </c>
      <c r="G699">
        <v>2</v>
      </c>
      <c r="H699">
        <v>2000</v>
      </c>
      <c r="I699">
        <v>0.15</v>
      </c>
      <c r="J699" t="str">
        <f>_xlfn.XLOOKUP(tblOrders[[#This Row],[ProductID]],Products!$A$2:$A$9,Products!$B$2:$B$9,"Unknown")</f>
        <v>Headset</v>
      </c>
      <c r="K699" t="str">
        <f>_xlfn.XLOOKUP(tblOrders[[#This Row],[ProductID]],Products!$A$2:$A$9,Products!$C$2:$C$9,"Unknown")</f>
        <v>Accessories</v>
      </c>
      <c r="L699">
        <f>_xlfn.XLOOKUP(tblOrders[[#This Row],[ProductID]],Products!$A$2:$A$9,Products!$D$2:$D$9,0)</f>
        <v>1300</v>
      </c>
      <c r="M699">
        <f>tblOrders[[#This Row],[Quantity]]*tblOrders[[#This Row],[UnitPrice]]*(1-tblOrders[[#This Row],[Discount]])</f>
        <v>3400</v>
      </c>
      <c r="N699">
        <f>tblOrders[[#This Row],[Quantity]]*tblOrders[[#This Row],[UnitCost]]</f>
        <v>2600</v>
      </c>
      <c r="O699">
        <f>tblOrders[[#This Row],[Revenue]]-tblOrders[[#This Row],[Cost]]</f>
        <v>800</v>
      </c>
      <c r="P699" t="str">
        <f>TEXT(tblOrders[[#This Row],[OrderDate]],"mmm")</f>
        <v>Jun</v>
      </c>
    </row>
    <row r="700" spans="1:16" x14ac:dyDescent="0.25">
      <c r="A700" t="s">
        <v>631</v>
      </c>
      <c r="B700" s="2">
        <v>45803</v>
      </c>
      <c r="C700" t="s">
        <v>52</v>
      </c>
      <c r="D700" t="s">
        <v>11</v>
      </c>
      <c r="E700" t="s">
        <v>12</v>
      </c>
      <c r="F700" t="s">
        <v>34</v>
      </c>
      <c r="G700">
        <v>10</v>
      </c>
      <c r="H700">
        <v>55000</v>
      </c>
      <c r="I700">
        <v>0</v>
      </c>
      <c r="J700" t="str">
        <f>_xlfn.XLOOKUP(tblOrders[[#This Row],[ProductID]],Products!$A$2:$A$9,Products!$B$2:$B$9,"Unknown")</f>
        <v>Laptop</v>
      </c>
      <c r="K700" t="str">
        <f>_xlfn.XLOOKUP(tblOrders[[#This Row],[ProductID]],Products!$A$2:$A$9,Products!$C$2:$C$9,"Unknown")</f>
        <v>Electronics</v>
      </c>
      <c r="L700">
        <f>_xlfn.XLOOKUP(tblOrders[[#This Row],[ProductID]],Products!$A$2:$A$9,Products!$D$2:$D$9,0)</f>
        <v>41000</v>
      </c>
      <c r="M700">
        <f>tblOrders[[#This Row],[Quantity]]*tblOrders[[#This Row],[UnitPrice]]*(1-tblOrders[[#This Row],[Discount]])</f>
        <v>550000</v>
      </c>
      <c r="N700">
        <f>tblOrders[[#This Row],[Quantity]]*tblOrders[[#This Row],[UnitCost]]</f>
        <v>410000</v>
      </c>
      <c r="O700">
        <f>tblOrders[[#This Row],[Revenue]]-tblOrders[[#This Row],[Cost]]</f>
        <v>140000</v>
      </c>
      <c r="P700" t="str">
        <f>TEXT(tblOrders[[#This Row],[OrderDate]],"mmm")</f>
        <v>May</v>
      </c>
    </row>
    <row r="701" spans="1:16" x14ac:dyDescent="0.25">
      <c r="A701" t="s">
        <v>214</v>
      </c>
      <c r="B701" s="2">
        <v>45957</v>
      </c>
      <c r="C701" t="s">
        <v>50</v>
      </c>
      <c r="D701" t="s">
        <v>16</v>
      </c>
      <c r="E701" t="s">
        <v>17</v>
      </c>
      <c r="F701" t="s">
        <v>43</v>
      </c>
      <c r="G701">
        <v>3</v>
      </c>
      <c r="H701">
        <v>1500</v>
      </c>
      <c r="I701">
        <v>0.05</v>
      </c>
      <c r="J701" t="str">
        <f>_xlfn.XLOOKUP(tblOrders[[#This Row],[ProductID]],Products!$A$2:$A$9,Products!$B$2:$B$9,"Unknown")</f>
        <v>Webcam</v>
      </c>
      <c r="K701" t="str">
        <f>_xlfn.XLOOKUP(tblOrders[[#This Row],[ProductID]],Products!$A$2:$A$9,Products!$C$2:$C$9,"Unknown")</f>
        <v>Accessories</v>
      </c>
      <c r="L701">
        <f>_xlfn.XLOOKUP(tblOrders[[#This Row],[ProductID]],Products!$A$2:$A$9,Products!$D$2:$D$9,0)</f>
        <v>980</v>
      </c>
      <c r="M701">
        <f>tblOrders[[#This Row],[Quantity]]*tblOrders[[#This Row],[UnitPrice]]*(1-tblOrders[[#This Row],[Discount]])</f>
        <v>4275</v>
      </c>
      <c r="N701">
        <f>tblOrders[[#This Row],[Quantity]]*tblOrders[[#This Row],[UnitCost]]</f>
        <v>2940</v>
      </c>
      <c r="O701">
        <f>tblOrders[[#This Row],[Revenue]]-tblOrders[[#This Row],[Cost]]</f>
        <v>1335</v>
      </c>
      <c r="P701" t="str">
        <f>TEXT(tblOrders[[#This Row],[OrderDate]],"mmm")</f>
        <v>Oct</v>
      </c>
    </row>
    <row r="702" spans="1:16" x14ac:dyDescent="0.25">
      <c r="A702" t="s">
        <v>377</v>
      </c>
      <c r="B702" s="2">
        <v>45981</v>
      </c>
      <c r="C702" t="s">
        <v>138</v>
      </c>
      <c r="D702" t="s">
        <v>11</v>
      </c>
      <c r="E702" t="s">
        <v>46</v>
      </c>
      <c r="F702" t="s">
        <v>43</v>
      </c>
      <c r="G702">
        <v>15</v>
      </c>
      <c r="H702">
        <v>1500</v>
      </c>
      <c r="I702">
        <v>0</v>
      </c>
      <c r="J702" t="str">
        <f>_xlfn.XLOOKUP(tblOrders[[#This Row],[ProductID]],Products!$A$2:$A$9,Products!$B$2:$B$9,"Unknown")</f>
        <v>Webcam</v>
      </c>
      <c r="K702" t="str">
        <f>_xlfn.XLOOKUP(tblOrders[[#This Row],[ProductID]],Products!$A$2:$A$9,Products!$C$2:$C$9,"Unknown")</f>
        <v>Accessories</v>
      </c>
      <c r="L702">
        <f>_xlfn.XLOOKUP(tblOrders[[#This Row],[ProductID]],Products!$A$2:$A$9,Products!$D$2:$D$9,0)</f>
        <v>980</v>
      </c>
      <c r="M702">
        <f>tblOrders[[#This Row],[Quantity]]*tblOrders[[#This Row],[UnitPrice]]*(1-tblOrders[[#This Row],[Discount]])</f>
        <v>22500</v>
      </c>
      <c r="N702">
        <f>tblOrders[[#This Row],[Quantity]]*tblOrders[[#This Row],[UnitCost]]</f>
        <v>14700</v>
      </c>
      <c r="O702">
        <f>tblOrders[[#This Row],[Revenue]]-tblOrders[[#This Row],[Cost]]</f>
        <v>7800</v>
      </c>
      <c r="P702" t="str">
        <f>TEXT(tblOrders[[#This Row],[OrderDate]],"mmm")</f>
        <v>Nov</v>
      </c>
    </row>
    <row r="703" spans="1:16" x14ac:dyDescent="0.25">
      <c r="A703" t="s">
        <v>911</v>
      </c>
      <c r="B703" s="2">
        <v>45768</v>
      </c>
      <c r="C703" t="s">
        <v>59</v>
      </c>
      <c r="D703" t="s">
        <v>16</v>
      </c>
      <c r="E703" t="s">
        <v>33</v>
      </c>
      <c r="F703" t="s">
        <v>64</v>
      </c>
      <c r="G703">
        <v>4</v>
      </c>
      <c r="H703">
        <v>500</v>
      </c>
      <c r="I703">
        <v>0</v>
      </c>
      <c r="J703" t="str">
        <f>_xlfn.XLOOKUP(tblOrders[[#This Row],[ProductID]],Products!$A$2:$A$9,Products!$B$2:$B$9,"Unknown")</f>
        <v>Mouse</v>
      </c>
      <c r="K703" t="str">
        <f>_xlfn.XLOOKUP(tblOrders[[#This Row],[ProductID]],Products!$A$2:$A$9,Products!$C$2:$C$9,"Unknown")</f>
        <v>Accessories</v>
      </c>
      <c r="L703">
        <f>_xlfn.XLOOKUP(tblOrders[[#This Row],[ProductID]],Products!$A$2:$A$9,Products!$D$2:$D$9,0)</f>
        <v>320</v>
      </c>
      <c r="M703">
        <f>tblOrders[[#This Row],[Quantity]]*tblOrders[[#This Row],[UnitPrice]]*(1-tblOrders[[#This Row],[Discount]])</f>
        <v>2000</v>
      </c>
      <c r="N703">
        <f>tblOrders[[#This Row],[Quantity]]*tblOrders[[#This Row],[UnitCost]]</f>
        <v>1280</v>
      </c>
      <c r="O703">
        <f>tblOrders[[#This Row],[Revenue]]-tblOrders[[#This Row],[Cost]]</f>
        <v>720</v>
      </c>
      <c r="P703" t="str">
        <f>TEXT(tblOrders[[#This Row],[OrderDate]],"mmm")</f>
        <v>Apr</v>
      </c>
    </row>
    <row r="704" spans="1:16" x14ac:dyDescent="0.25">
      <c r="A704" t="s">
        <v>445</v>
      </c>
      <c r="B704" s="2">
        <v>45900</v>
      </c>
      <c r="C704" t="s">
        <v>107</v>
      </c>
      <c r="D704" t="s">
        <v>39</v>
      </c>
      <c r="E704" t="s">
        <v>76</v>
      </c>
      <c r="F704" t="s">
        <v>69</v>
      </c>
      <c r="G704">
        <v>5</v>
      </c>
      <c r="H704">
        <v>12000</v>
      </c>
      <c r="I704">
        <v>0</v>
      </c>
      <c r="J704" t="str">
        <f>_xlfn.XLOOKUP(tblOrders[[#This Row],[ProductID]],Products!$A$2:$A$9,Products!$B$2:$B$9,"Unknown")</f>
        <v>Monitor</v>
      </c>
      <c r="K704" t="str">
        <f>_xlfn.XLOOKUP(tblOrders[[#This Row],[ProductID]],Products!$A$2:$A$9,Products!$C$2:$C$9,"Unknown")</f>
        <v>Electronics</v>
      </c>
      <c r="L704">
        <f>_xlfn.XLOOKUP(tblOrders[[#This Row],[ProductID]],Products!$A$2:$A$9,Products!$D$2:$D$9,0)</f>
        <v>9000</v>
      </c>
      <c r="M704">
        <f>tblOrders[[#This Row],[Quantity]]*tblOrders[[#This Row],[UnitPrice]]*(1-tblOrders[[#This Row],[Discount]])</f>
        <v>60000</v>
      </c>
      <c r="N704">
        <f>tblOrders[[#This Row],[Quantity]]*tblOrders[[#This Row],[UnitCost]]</f>
        <v>45000</v>
      </c>
      <c r="O704">
        <f>tblOrders[[#This Row],[Revenue]]-tblOrders[[#This Row],[Cost]]</f>
        <v>15000</v>
      </c>
      <c r="P704" t="str">
        <f>TEXT(tblOrders[[#This Row],[OrderDate]],"mmm")</f>
        <v>Aug</v>
      </c>
    </row>
    <row r="705" spans="1:16" x14ac:dyDescent="0.25">
      <c r="A705" t="s">
        <v>727</v>
      </c>
      <c r="B705" s="2">
        <v>45756</v>
      </c>
      <c r="C705" t="s">
        <v>130</v>
      </c>
      <c r="D705" t="s">
        <v>16</v>
      </c>
      <c r="E705" t="s">
        <v>17</v>
      </c>
      <c r="F705" t="s">
        <v>23</v>
      </c>
      <c r="G705">
        <v>10</v>
      </c>
      <c r="H705">
        <v>900</v>
      </c>
      <c r="I705">
        <v>0.1</v>
      </c>
      <c r="J705" t="str">
        <f>_xlfn.XLOOKUP(tblOrders[[#This Row],[ProductID]],Products!$A$2:$A$9,Products!$B$2:$B$9,"Unknown")</f>
        <v>Keyboard</v>
      </c>
      <c r="K705" t="str">
        <f>_xlfn.XLOOKUP(tblOrders[[#This Row],[ProductID]],Products!$A$2:$A$9,Products!$C$2:$C$9,"Unknown")</f>
        <v>Accessories</v>
      </c>
      <c r="L705">
        <f>_xlfn.XLOOKUP(tblOrders[[#This Row],[ProductID]],Products!$A$2:$A$9,Products!$D$2:$D$9,0)</f>
        <v>600</v>
      </c>
      <c r="M705">
        <f>tblOrders[[#This Row],[Quantity]]*tblOrders[[#This Row],[UnitPrice]]*(1-tblOrders[[#This Row],[Discount]])</f>
        <v>8100</v>
      </c>
      <c r="N705">
        <f>tblOrders[[#This Row],[Quantity]]*tblOrders[[#This Row],[UnitCost]]</f>
        <v>6000</v>
      </c>
      <c r="O705">
        <f>tblOrders[[#This Row],[Revenue]]-tblOrders[[#This Row],[Cost]]</f>
        <v>2100</v>
      </c>
      <c r="P705" t="str">
        <f>TEXT(tblOrders[[#This Row],[OrderDate]],"mmm")</f>
        <v>Apr</v>
      </c>
    </row>
    <row r="706" spans="1:16" x14ac:dyDescent="0.25">
      <c r="A706" t="s">
        <v>922</v>
      </c>
      <c r="B706" s="2">
        <v>45942</v>
      </c>
      <c r="C706" t="s">
        <v>68</v>
      </c>
      <c r="D706" t="s">
        <v>21</v>
      </c>
      <c r="E706" t="s">
        <v>28</v>
      </c>
      <c r="F706" t="s">
        <v>64</v>
      </c>
      <c r="G706">
        <v>8</v>
      </c>
      <c r="H706">
        <v>500</v>
      </c>
      <c r="I706">
        <v>0</v>
      </c>
      <c r="J706" t="str">
        <f>_xlfn.XLOOKUP(tblOrders[[#This Row],[ProductID]],Products!$A$2:$A$9,Products!$B$2:$B$9,"Unknown")</f>
        <v>Mouse</v>
      </c>
      <c r="K706" t="str">
        <f>_xlfn.XLOOKUP(tblOrders[[#This Row],[ProductID]],Products!$A$2:$A$9,Products!$C$2:$C$9,"Unknown")</f>
        <v>Accessories</v>
      </c>
      <c r="L706">
        <f>_xlfn.XLOOKUP(tblOrders[[#This Row],[ProductID]],Products!$A$2:$A$9,Products!$D$2:$D$9,0)</f>
        <v>320</v>
      </c>
      <c r="M706">
        <f>tblOrders[[#This Row],[Quantity]]*tblOrders[[#This Row],[UnitPrice]]*(1-tblOrders[[#This Row],[Discount]])</f>
        <v>4000</v>
      </c>
      <c r="N706">
        <f>tblOrders[[#This Row],[Quantity]]*tblOrders[[#This Row],[UnitCost]]</f>
        <v>2560</v>
      </c>
      <c r="O706">
        <f>tblOrders[[#This Row],[Revenue]]-tblOrders[[#This Row],[Cost]]</f>
        <v>1440</v>
      </c>
      <c r="P706" t="str">
        <f>TEXT(tblOrders[[#This Row],[OrderDate]],"mmm")</f>
        <v>Oct</v>
      </c>
    </row>
    <row r="707" spans="1:16" x14ac:dyDescent="0.25">
      <c r="A707" t="s">
        <v>1005</v>
      </c>
      <c r="B707" s="2">
        <v>45903</v>
      </c>
      <c r="C707" t="s">
        <v>90</v>
      </c>
      <c r="D707" t="s">
        <v>11</v>
      </c>
      <c r="E707" t="s">
        <v>46</v>
      </c>
      <c r="F707" t="s">
        <v>18</v>
      </c>
      <c r="G707">
        <v>14</v>
      </c>
      <c r="H707">
        <v>18000</v>
      </c>
      <c r="I707">
        <v>0.05</v>
      </c>
      <c r="J707" t="str">
        <f>_xlfn.XLOOKUP(tblOrders[[#This Row],[ProductID]],Products!$A$2:$A$9,Products!$B$2:$B$9,"Unknown")</f>
        <v>Tablet</v>
      </c>
      <c r="K707" t="str">
        <f>_xlfn.XLOOKUP(tblOrders[[#This Row],[ProductID]],Products!$A$2:$A$9,Products!$C$2:$C$9,"Unknown")</f>
        <v>Electronics</v>
      </c>
      <c r="L707">
        <f>_xlfn.XLOOKUP(tblOrders[[#This Row],[ProductID]],Products!$A$2:$A$9,Products!$D$2:$D$9,0)</f>
        <v>13500</v>
      </c>
      <c r="M707">
        <f>tblOrders[[#This Row],[Quantity]]*tblOrders[[#This Row],[UnitPrice]]*(1-tblOrders[[#This Row],[Discount]])</f>
        <v>239400</v>
      </c>
      <c r="N707">
        <f>tblOrders[[#This Row],[Quantity]]*tblOrders[[#This Row],[UnitCost]]</f>
        <v>189000</v>
      </c>
      <c r="O707">
        <f>tblOrders[[#This Row],[Revenue]]-tblOrders[[#This Row],[Cost]]</f>
        <v>50400</v>
      </c>
      <c r="P707" t="str">
        <f>TEXT(tblOrders[[#This Row],[OrderDate]],"mmm")</f>
        <v>Sep</v>
      </c>
    </row>
    <row r="708" spans="1:16" x14ac:dyDescent="0.25">
      <c r="A708" t="s">
        <v>1074</v>
      </c>
      <c r="B708" s="2">
        <v>45686</v>
      </c>
      <c r="C708" t="s">
        <v>85</v>
      </c>
      <c r="D708" t="s">
        <v>21</v>
      </c>
      <c r="E708" t="s">
        <v>28</v>
      </c>
      <c r="F708" t="s">
        <v>13</v>
      </c>
      <c r="G708">
        <v>14</v>
      </c>
      <c r="H708">
        <v>2000</v>
      </c>
      <c r="I708">
        <v>0</v>
      </c>
      <c r="J708" t="str">
        <f>_xlfn.XLOOKUP(tblOrders[[#This Row],[ProductID]],Products!$A$2:$A$9,Products!$B$2:$B$9,"Unknown")</f>
        <v>Headset</v>
      </c>
      <c r="K708" t="str">
        <f>_xlfn.XLOOKUP(tblOrders[[#This Row],[ProductID]],Products!$A$2:$A$9,Products!$C$2:$C$9,"Unknown")</f>
        <v>Accessories</v>
      </c>
      <c r="L708">
        <f>_xlfn.XLOOKUP(tblOrders[[#This Row],[ProductID]],Products!$A$2:$A$9,Products!$D$2:$D$9,0)</f>
        <v>1300</v>
      </c>
      <c r="M708">
        <f>tblOrders[[#This Row],[Quantity]]*tblOrders[[#This Row],[UnitPrice]]*(1-tblOrders[[#This Row],[Discount]])</f>
        <v>28000</v>
      </c>
      <c r="N708">
        <f>tblOrders[[#This Row],[Quantity]]*tblOrders[[#This Row],[UnitCost]]</f>
        <v>18200</v>
      </c>
      <c r="O708">
        <f>tblOrders[[#This Row],[Revenue]]-tblOrders[[#This Row],[Cost]]</f>
        <v>9800</v>
      </c>
      <c r="P708" t="str">
        <f>TEXT(tblOrders[[#This Row],[OrderDate]],"mmm")</f>
        <v>Jan</v>
      </c>
    </row>
    <row r="709" spans="1:16" x14ac:dyDescent="0.25">
      <c r="A709" t="s">
        <v>437</v>
      </c>
      <c r="B709" s="2">
        <v>45690</v>
      </c>
      <c r="C709" t="s">
        <v>52</v>
      </c>
      <c r="D709" t="s">
        <v>11</v>
      </c>
      <c r="E709" t="s">
        <v>46</v>
      </c>
      <c r="F709" t="s">
        <v>18</v>
      </c>
      <c r="G709">
        <v>9</v>
      </c>
      <c r="H709">
        <v>18000</v>
      </c>
      <c r="I709">
        <v>0</v>
      </c>
      <c r="J709" t="str">
        <f>_xlfn.XLOOKUP(tblOrders[[#This Row],[ProductID]],Products!$A$2:$A$9,Products!$B$2:$B$9,"Unknown")</f>
        <v>Tablet</v>
      </c>
      <c r="K709" t="str">
        <f>_xlfn.XLOOKUP(tblOrders[[#This Row],[ProductID]],Products!$A$2:$A$9,Products!$C$2:$C$9,"Unknown")</f>
        <v>Electronics</v>
      </c>
      <c r="L709">
        <f>_xlfn.XLOOKUP(tblOrders[[#This Row],[ProductID]],Products!$A$2:$A$9,Products!$D$2:$D$9,0)</f>
        <v>13500</v>
      </c>
      <c r="M709">
        <f>tblOrders[[#This Row],[Quantity]]*tblOrders[[#This Row],[UnitPrice]]*(1-tblOrders[[#This Row],[Discount]])</f>
        <v>162000</v>
      </c>
      <c r="N709">
        <f>tblOrders[[#This Row],[Quantity]]*tblOrders[[#This Row],[UnitCost]]</f>
        <v>121500</v>
      </c>
      <c r="O709">
        <f>tblOrders[[#This Row],[Revenue]]-tblOrders[[#This Row],[Cost]]</f>
        <v>40500</v>
      </c>
      <c r="P709" t="str">
        <f>TEXT(tblOrders[[#This Row],[OrderDate]],"mmm")</f>
        <v>Feb</v>
      </c>
    </row>
    <row r="710" spans="1:16" x14ac:dyDescent="0.25">
      <c r="A710" t="s">
        <v>607</v>
      </c>
      <c r="B710" s="2">
        <v>45713</v>
      </c>
      <c r="C710" t="s">
        <v>153</v>
      </c>
      <c r="D710" t="s">
        <v>11</v>
      </c>
      <c r="E710" t="s">
        <v>12</v>
      </c>
      <c r="F710" t="s">
        <v>18</v>
      </c>
      <c r="G710">
        <v>14</v>
      </c>
      <c r="H710">
        <v>18000</v>
      </c>
      <c r="I710">
        <v>0</v>
      </c>
      <c r="J710" t="str">
        <f>_xlfn.XLOOKUP(tblOrders[[#This Row],[ProductID]],Products!$A$2:$A$9,Products!$B$2:$B$9,"Unknown")</f>
        <v>Tablet</v>
      </c>
      <c r="K710" t="str">
        <f>_xlfn.XLOOKUP(tblOrders[[#This Row],[ProductID]],Products!$A$2:$A$9,Products!$C$2:$C$9,"Unknown")</f>
        <v>Electronics</v>
      </c>
      <c r="L710">
        <f>_xlfn.XLOOKUP(tblOrders[[#This Row],[ProductID]],Products!$A$2:$A$9,Products!$D$2:$D$9,0)</f>
        <v>13500</v>
      </c>
      <c r="M710">
        <f>tblOrders[[#This Row],[Quantity]]*tblOrders[[#This Row],[UnitPrice]]*(1-tblOrders[[#This Row],[Discount]])</f>
        <v>252000</v>
      </c>
      <c r="N710">
        <f>tblOrders[[#This Row],[Quantity]]*tblOrders[[#This Row],[UnitCost]]</f>
        <v>189000</v>
      </c>
      <c r="O710">
        <f>tblOrders[[#This Row],[Revenue]]-tblOrders[[#This Row],[Cost]]</f>
        <v>63000</v>
      </c>
      <c r="P710" t="str">
        <f>TEXT(tblOrders[[#This Row],[OrderDate]],"mmm")</f>
        <v>Feb</v>
      </c>
    </row>
    <row r="711" spans="1:16" x14ac:dyDescent="0.25">
      <c r="A711" t="s">
        <v>81</v>
      </c>
      <c r="B711" s="2">
        <v>45885</v>
      </c>
      <c r="C711" t="s">
        <v>82</v>
      </c>
      <c r="D711" t="s">
        <v>11</v>
      </c>
      <c r="E711" t="s">
        <v>12</v>
      </c>
      <c r="F711" t="s">
        <v>23</v>
      </c>
      <c r="G711">
        <v>15</v>
      </c>
      <c r="H711">
        <v>900</v>
      </c>
      <c r="I711">
        <v>0.1</v>
      </c>
      <c r="J711" t="str">
        <f>_xlfn.XLOOKUP(tblOrders[[#This Row],[ProductID]],Products!$A$2:$A$9,Products!$B$2:$B$9,"Unknown")</f>
        <v>Keyboard</v>
      </c>
      <c r="K711" t="str">
        <f>_xlfn.XLOOKUP(tblOrders[[#This Row],[ProductID]],Products!$A$2:$A$9,Products!$C$2:$C$9,"Unknown")</f>
        <v>Accessories</v>
      </c>
      <c r="L711">
        <f>_xlfn.XLOOKUP(tblOrders[[#This Row],[ProductID]],Products!$A$2:$A$9,Products!$D$2:$D$9,0)</f>
        <v>600</v>
      </c>
      <c r="M711">
        <f>tblOrders[[#This Row],[Quantity]]*tblOrders[[#This Row],[UnitPrice]]*(1-tblOrders[[#This Row],[Discount]])</f>
        <v>12150</v>
      </c>
      <c r="N711">
        <f>tblOrders[[#This Row],[Quantity]]*tblOrders[[#This Row],[UnitCost]]</f>
        <v>9000</v>
      </c>
      <c r="O711">
        <f>tblOrders[[#This Row],[Revenue]]-tblOrders[[#This Row],[Cost]]</f>
        <v>3150</v>
      </c>
      <c r="P711" t="str">
        <f>TEXT(tblOrders[[#This Row],[OrderDate]],"mmm")</f>
        <v>Aug</v>
      </c>
    </row>
    <row r="712" spans="1:16" x14ac:dyDescent="0.25">
      <c r="A712" t="s">
        <v>565</v>
      </c>
      <c r="B712" s="2">
        <v>45669</v>
      </c>
      <c r="C712" t="s">
        <v>48</v>
      </c>
      <c r="D712" t="s">
        <v>11</v>
      </c>
      <c r="E712" t="s">
        <v>12</v>
      </c>
      <c r="F712" t="s">
        <v>64</v>
      </c>
      <c r="G712">
        <v>7</v>
      </c>
      <c r="H712">
        <v>500</v>
      </c>
      <c r="I712">
        <v>0</v>
      </c>
      <c r="J712" t="str">
        <f>_xlfn.XLOOKUP(tblOrders[[#This Row],[ProductID]],Products!$A$2:$A$9,Products!$B$2:$B$9,"Unknown")</f>
        <v>Mouse</v>
      </c>
      <c r="K712" t="str">
        <f>_xlfn.XLOOKUP(tblOrders[[#This Row],[ProductID]],Products!$A$2:$A$9,Products!$C$2:$C$9,"Unknown")</f>
        <v>Accessories</v>
      </c>
      <c r="L712">
        <f>_xlfn.XLOOKUP(tblOrders[[#This Row],[ProductID]],Products!$A$2:$A$9,Products!$D$2:$D$9,0)</f>
        <v>320</v>
      </c>
      <c r="M712">
        <f>tblOrders[[#This Row],[Quantity]]*tblOrders[[#This Row],[UnitPrice]]*(1-tblOrders[[#This Row],[Discount]])</f>
        <v>3500</v>
      </c>
      <c r="N712">
        <f>tblOrders[[#This Row],[Quantity]]*tblOrders[[#This Row],[UnitCost]]</f>
        <v>2240</v>
      </c>
      <c r="O712">
        <f>tblOrders[[#This Row],[Revenue]]-tblOrders[[#This Row],[Cost]]</f>
        <v>1260</v>
      </c>
      <c r="P712" t="str">
        <f>TEXT(tblOrders[[#This Row],[OrderDate]],"mmm")</f>
        <v>Jan</v>
      </c>
    </row>
    <row r="713" spans="1:16" x14ac:dyDescent="0.25">
      <c r="A713" t="s">
        <v>734</v>
      </c>
      <c r="B713" s="2">
        <v>45960</v>
      </c>
      <c r="C713" t="s">
        <v>97</v>
      </c>
      <c r="D713" t="s">
        <v>21</v>
      </c>
      <c r="E713" t="s">
        <v>28</v>
      </c>
      <c r="F713" t="s">
        <v>23</v>
      </c>
      <c r="G713">
        <v>3</v>
      </c>
      <c r="H713">
        <v>900</v>
      </c>
      <c r="I713">
        <v>0</v>
      </c>
      <c r="J713" t="str">
        <f>_xlfn.XLOOKUP(tblOrders[[#This Row],[ProductID]],Products!$A$2:$A$9,Products!$B$2:$B$9,"Unknown")</f>
        <v>Keyboard</v>
      </c>
      <c r="K713" t="str">
        <f>_xlfn.XLOOKUP(tblOrders[[#This Row],[ProductID]],Products!$A$2:$A$9,Products!$C$2:$C$9,"Unknown")</f>
        <v>Accessories</v>
      </c>
      <c r="L713">
        <f>_xlfn.XLOOKUP(tblOrders[[#This Row],[ProductID]],Products!$A$2:$A$9,Products!$D$2:$D$9,0)</f>
        <v>600</v>
      </c>
      <c r="M713">
        <f>tblOrders[[#This Row],[Quantity]]*tblOrders[[#This Row],[UnitPrice]]*(1-tblOrders[[#This Row],[Discount]])</f>
        <v>2700</v>
      </c>
      <c r="N713">
        <f>tblOrders[[#This Row],[Quantity]]*tblOrders[[#This Row],[UnitCost]]</f>
        <v>1800</v>
      </c>
      <c r="O713">
        <f>tblOrders[[#This Row],[Revenue]]-tblOrders[[#This Row],[Cost]]</f>
        <v>900</v>
      </c>
      <c r="P713" t="str">
        <f>TEXT(tblOrders[[#This Row],[OrderDate]],"mmm")</f>
        <v>Oct</v>
      </c>
    </row>
    <row r="714" spans="1:16" x14ac:dyDescent="0.25">
      <c r="A714" t="s">
        <v>811</v>
      </c>
      <c r="B714" s="2">
        <v>45867</v>
      </c>
      <c r="C714" t="s">
        <v>61</v>
      </c>
      <c r="D714" t="s">
        <v>11</v>
      </c>
      <c r="E714" t="s">
        <v>46</v>
      </c>
      <c r="F714" t="s">
        <v>43</v>
      </c>
      <c r="G714">
        <v>4</v>
      </c>
      <c r="H714">
        <v>1500</v>
      </c>
      <c r="I714">
        <v>0</v>
      </c>
      <c r="J714" t="str">
        <f>_xlfn.XLOOKUP(tblOrders[[#This Row],[ProductID]],Products!$A$2:$A$9,Products!$B$2:$B$9,"Unknown")</f>
        <v>Webcam</v>
      </c>
      <c r="K714" t="str">
        <f>_xlfn.XLOOKUP(tblOrders[[#This Row],[ProductID]],Products!$A$2:$A$9,Products!$C$2:$C$9,"Unknown")</f>
        <v>Accessories</v>
      </c>
      <c r="L714">
        <f>_xlfn.XLOOKUP(tblOrders[[#This Row],[ProductID]],Products!$A$2:$A$9,Products!$D$2:$D$9,0)</f>
        <v>980</v>
      </c>
      <c r="M714">
        <f>tblOrders[[#This Row],[Quantity]]*tblOrders[[#This Row],[UnitPrice]]*(1-tblOrders[[#This Row],[Discount]])</f>
        <v>6000</v>
      </c>
      <c r="N714">
        <f>tblOrders[[#This Row],[Quantity]]*tblOrders[[#This Row],[UnitCost]]</f>
        <v>3920</v>
      </c>
      <c r="O714">
        <f>tblOrders[[#This Row],[Revenue]]-tblOrders[[#This Row],[Cost]]</f>
        <v>2080</v>
      </c>
      <c r="P714" t="str">
        <f>TEXT(tblOrders[[#This Row],[OrderDate]],"mmm")</f>
        <v>Jul</v>
      </c>
    </row>
    <row r="715" spans="1:16" x14ac:dyDescent="0.25">
      <c r="A715" t="s">
        <v>1053</v>
      </c>
      <c r="B715" s="2">
        <v>45672</v>
      </c>
      <c r="C715" t="s">
        <v>38</v>
      </c>
      <c r="D715" t="s">
        <v>21</v>
      </c>
      <c r="E715" t="s">
        <v>28</v>
      </c>
      <c r="F715" t="s">
        <v>13</v>
      </c>
      <c r="G715">
        <v>3</v>
      </c>
      <c r="H715">
        <v>2000</v>
      </c>
      <c r="I715">
        <v>0.15</v>
      </c>
      <c r="J715" t="str">
        <f>_xlfn.XLOOKUP(tblOrders[[#This Row],[ProductID]],Products!$A$2:$A$9,Products!$B$2:$B$9,"Unknown")</f>
        <v>Headset</v>
      </c>
      <c r="K715" t="str">
        <f>_xlfn.XLOOKUP(tblOrders[[#This Row],[ProductID]],Products!$A$2:$A$9,Products!$C$2:$C$9,"Unknown")</f>
        <v>Accessories</v>
      </c>
      <c r="L715">
        <f>_xlfn.XLOOKUP(tblOrders[[#This Row],[ProductID]],Products!$A$2:$A$9,Products!$D$2:$D$9,0)</f>
        <v>1300</v>
      </c>
      <c r="M715">
        <f>tblOrders[[#This Row],[Quantity]]*tblOrders[[#This Row],[UnitPrice]]*(1-tblOrders[[#This Row],[Discount]])</f>
        <v>5100</v>
      </c>
      <c r="N715">
        <f>tblOrders[[#This Row],[Quantity]]*tblOrders[[#This Row],[UnitCost]]</f>
        <v>3900</v>
      </c>
      <c r="O715">
        <f>tblOrders[[#This Row],[Revenue]]-tblOrders[[#This Row],[Cost]]</f>
        <v>1200</v>
      </c>
      <c r="P715" t="str">
        <f>TEXT(tblOrders[[#This Row],[OrderDate]],"mmm")</f>
        <v>Jan</v>
      </c>
    </row>
    <row r="716" spans="1:16" x14ac:dyDescent="0.25">
      <c r="A716" t="s">
        <v>218</v>
      </c>
      <c r="B716" s="2">
        <v>45953</v>
      </c>
      <c r="C716" t="s">
        <v>121</v>
      </c>
      <c r="D716" t="s">
        <v>16</v>
      </c>
      <c r="E716" t="s">
        <v>33</v>
      </c>
      <c r="F716" t="s">
        <v>55</v>
      </c>
      <c r="G716">
        <v>3</v>
      </c>
      <c r="H716">
        <v>8000</v>
      </c>
      <c r="I716">
        <v>0.1</v>
      </c>
      <c r="J716" t="str">
        <f>_xlfn.XLOOKUP(tblOrders[[#This Row],[ProductID]],Products!$A$2:$A$9,Products!$B$2:$B$9,"Unknown")</f>
        <v>Printer</v>
      </c>
      <c r="K716" t="str">
        <f>_xlfn.XLOOKUP(tblOrders[[#This Row],[ProductID]],Products!$A$2:$A$9,Products!$C$2:$C$9,"Unknown")</f>
        <v>Electronics</v>
      </c>
      <c r="L716">
        <f>_xlfn.XLOOKUP(tblOrders[[#This Row],[ProductID]],Products!$A$2:$A$9,Products!$D$2:$D$9,0)</f>
        <v>6200</v>
      </c>
      <c r="M716">
        <f>tblOrders[[#This Row],[Quantity]]*tblOrders[[#This Row],[UnitPrice]]*(1-tblOrders[[#This Row],[Discount]])</f>
        <v>21600</v>
      </c>
      <c r="N716">
        <f>tblOrders[[#This Row],[Quantity]]*tblOrders[[#This Row],[UnitCost]]</f>
        <v>18600</v>
      </c>
      <c r="O716">
        <f>tblOrders[[#This Row],[Revenue]]-tblOrders[[#This Row],[Cost]]</f>
        <v>3000</v>
      </c>
      <c r="P716" t="str">
        <f>TEXT(tblOrders[[#This Row],[OrderDate]],"mmm")</f>
        <v>Oct</v>
      </c>
    </row>
    <row r="717" spans="1:16" x14ac:dyDescent="0.25">
      <c r="A717" t="s">
        <v>440</v>
      </c>
      <c r="B717" s="2">
        <v>45968</v>
      </c>
      <c r="C717" t="s">
        <v>155</v>
      </c>
      <c r="D717" t="s">
        <v>16</v>
      </c>
      <c r="E717" t="s">
        <v>17</v>
      </c>
      <c r="F717" t="s">
        <v>23</v>
      </c>
      <c r="G717">
        <v>13</v>
      </c>
      <c r="H717">
        <v>900</v>
      </c>
      <c r="I717">
        <v>0</v>
      </c>
      <c r="J717" t="str">
        <f>_xlfn.XLOOKUP(tblOrders[[#This Row],[ProductID]],Products!$A$2:$A$9,Products!$B$2:$B$9,"Unknown")</f>
        <v>Keyboard</v>
      </c>
      <c r="K717" t="str">
        <f>_xlfn.XLOOKUP(tblOrders[[#This Row],[ProductID]],Products!$A$2:$A$9,Products!$C$2:$C$9,"Unknown")</f>
        <v>Accessories</v>
      </c>
      <c r="L717">
        <f>_xlfn.XLOOKUP(tblOrders[[#This Row],[ProductID]],Products!$A$2:$A$9,Products!$D$2:$D$9,0)</f>
        <v>600</v>
      </c>
      <c r="M717">
        <f>tblOrders[[#This Row],[Quantity]]*tblOrders[[#This Row],[UnitPrice]]*(1-tblOrders[[#This Row],[Discount]])</f>
        <v>11700</v>
      </c>
      <c r="N717">
        <f>tblOrders[[#This Row],[Quantity]]*tblOrders[[#This Row],[UnitCost]]</f>
        <v>7800</v>
      </c>
      <c r="O717">
        <f>tblOrders[[#This Row],[Revenue]]-tblOrders[[#This Row],[Cost]]</f>
        <v>3900</v>
      </c>
      <c r="P717" t="str">
        <f>TEXT(tblOrders[[#This Row],[OrderDate]],"mmm")</f>
        <v>Nov</v>
      </c>
    </row>
    <row r="718" spans="1:16" x14ac:dyDescent="0.25">
      <c r="A718" t="s">
        <v>912</v>
      </c>
      <c r="B718" s="2">
        <v>45939</v>
      </c>
      <c r="C718" t="s">
        <v>61</v>
      </c>
      <c r="D718" t="s">
        <v>16</v>
      </c>
      <c r="E718" t="s">
        <v>33</v>
      </c>
      <c r="F718" t="s">
        <v>69</v>
      </c>
      <c r="G718">
        <v>9</v>
      </c>
      <c r="H718">
        <v>12000</v>
      </c>
      <c r="I718">
        <v>0.1</v>
      </c>
      <c r="J718" t="str">
        <f>_xlfn.XLOOKUP(tblOrders[[#This Row],[ProductID]],Products!$A$2:$A$9,Products!$B$2:$B$9,"Unknown")</f>
        <v>Monitor</v>
      </c>
      <c r="K718" t="str">
        <f>_xlfn.XLOOKUP(tblOrders[[#This Row],[ProductID]],Products!$A$2:$A$9,Products!$C$2:$C$9,"Unknown")</f>
        <v>Electronics</v>
      </c>
      <c r="L718">
        <f>_xlfn.XLOOKUP(tblOrders[[#This Row],[ProductID]],Products!$A$2:$A$9,Products!$D$2:$D$9,0)</f>
        <v>9000</v>
      </c>
      <c r="M718">
        <f>tblOrders[[#This Row],[Quantity]]*tblOrders[[#This Row],[UnitPrice]]*(1-tblOrders[[#This Row],[Discount]])</f>
        <v>97200</v>
      </c>
      <c r="N718">
        <f>tblOrders[[#This Row],[Quantity]]*tblOrders[[#This Row],[UnitCost]]</f>
        <v>81000</v>
      </c>
      <c r="O718">
        <f>tblOrders[[#This Row],[Revenue]]-tblOrders[[#This Row],[Cost]]</f>
        <v>16200</v>
      </c>
      <c r="P718" t="str">
        <f>TEXT(tblOrders[[#This Row],[OrderDate]],"mmm")</f>
        <v>Oct</v>
      </c>
    </row>
    <row r="719" spans="1:16" x14ac:dyDescent="0.25">
      <c r="A719" t="s">
        <v>647</v>
      </c>
      <c r="B719" s="2">
        <v>45989</v>
      </c>
      <c r="C719" t="s">
        <v>20</v>
      </c>
      <c r="D719" t="s">
        <v>21</v>
      </c>
      <c r="E719" t="s">
        <v>22</v>
      </c>
      <c r="F719" t="s">
        <v>23</v>
      </c>
      <c r="G719">
        <v>12</v>
      </c>
      <c r="H719">
        <v>900</v>
      </c>
      <c r="I719">
        <v>0</v>
      </c>
      <c r="J719" t="str">
        <f>_xlfn.XLOOKUP(tblOrders[[#This Row],[ProductID]],Products!$A$2:$A$9,Products!$B$2:$B$9,"Unknown")</f>
        <v>Keyboard</v>
      </c>
      <c r="K719" t="str">
        <f>_xlfn.XLOOKUP(tblOrders[[#This Row],[ProductID]],Products!$A$2:$A$9,Products!$C$2:$C$9,"Unknown")</f>
        <v>Accessories</v>
      </c>
      <c r="L719">
        <f>_xlfn.XLOOKUP(tblOrders[[#This Row],[ProductID]],Products!$A$2:$A$9,Products!$D$2:$D$9,0)</f>
        <v>600</v>
      </c>
      <c r="M719">
        <f>tblOrders[[#This Row],[Quantity]]*tblOrders[[#This Row],[UnitPrice]]*(1-tblOrders[[#This Row],[Discount]])</f>
        <v>10800</v>
      </c>
      <c r="N719">
        <f>tblOrders[[#This Row],[Quantity]]*tblOrders[[#This Row],[UnitCost]]</f>
        <v>7200</v>
      </c>
      <c r="O719">
        <f>tblOrders[[#This Row],[Revenue]]-tblOrders[[#This Row],[Cost]]</f>
        <v>3600</v>
      </c>
      <c r="P719" t="str">
        <f>TEXT(tblOrders[[#This Row],[OrderDate]],"mmm")</f>
        <v>Nov</v>
      </c>
    </row>
    <row r="720" spans="1:16" x14ac:dyDescent="0.25">
      <c r="A720" t="s">
        <v>120</v>
      </c>
      <c r="B720" s="2">
        <v>45956</v>
      </c>
      <c r="C720" t="s">
        <v>121</v>
      </c>
      <c r="D720" t="s">
        <v>11</v>
      </c>
      <c r="E720" t="s">
        <v>12</v>
      </c>
      <c r="F720" t="s">
        <v>55</v>
      </c>
      <c r="G720">
        <v>2</v>
      </c>
      <c r="H720">
        <v>8000</v>
      </c>
      <c r="I720">
        <v>0</v>
      </c>
      <c r="J720" t="str">
        <f>_xlfn.XLOOKUP(tblOrders[[#This Row],[ProductID]],Products!$A$2:$A$9,Products!$B$2:$B$9,"Unknown")</f>
        <v>Printer</v>
      </c>
      <c r="K720" t="str">
        <f>_xlfn.XLOOKUP(tblOrders[[#This Row],[ProductID]],Products!$A$2:$A$9,Products!$C$2:$C$9,"Unknown")</f>
        <v>Electronics</v>
      </c>
      <c r="L720">
        <f>_xlfn.XLOOKUP(tblOrders[[#This Row],[ProductID]],Products!$A$2:$A$9,Products!$D$2:$D$9,0)</f>
        <v>6200</v>
      </c>
      <c r="M720">
        <f>tblOrders[[#This Row],[Quantity]]*tblOrders[[#This Row],[UnitPrice]]*(1-tblOrders[[#This Row],[Discount]])</f>
        <v>16000</v>
      </c>
      <c r="N720">
        <f>tblOrders[[#This Row],[Quantity]]*tblOrders[[#This Row],[UnitCost]]</f>
        <v>12400</v>
      </c>
      <c r="O720">
        <f>tblOrders[[#This Row],[Revenue]]-tblOrders[[#This Row],[Cost]]</f>
        <v>3600</v>
      </c>
      <c r="P720" t="str">
        <f>TEXT(tblOrders[[#This Row],[OrderDate]],"mmm")</f>
        <v>Oct</v>
      </c>
    </row>
    <row r="721" spans="1:16" x14ac:dyDescent="0.25">
      <c r="A721" t="s">
        <v>1006</v>
      </c>
      <c r="B721" s="2">
        <v>45897</v>
      </c>
      <c r="C721" t="s">
        <v>138</v>
      </c>
      <c r="D721" t="s">
        <v>16</v>
      </c>
      <c r="E721" t="s">
        <v>17</v>
      </c>
      <c r="F721" t="s">
        <v>55</v>
      </c>
      <c r="G721">
        <v>6</v>
      </c>
      <c r="H721">
        <v>8000</v>
      </c>
      <c r="I721">
        <v>0</v>
      </c>
      <c r="J721" t="str">
        <f>_xlfn.XLOOKUP(tblOrders[[#This Row],[ProductID]],Products!$A$2:$A$9,Products!$B$2:$B$9,"Unknown")</f>
        <v>Printer</v>
      </c>
      <c r="K721" t="str">
        <f>_xlfn.XLOOKUP(tblOrders[[#This Row],[ProductID]],Products!$A$2:$A$9,Products!$C$2:$C$9,"Unknown")</f>
        <v>Electronics</v>
      </c>
      <c r="L721">
        <f>_xlfn.XLOOKUP(tblOrders[[#This Row],[ProductID]],Products!$A$2:$A$9,Products!$D$2:$D$9,0)</f>
        <v>6200</v>
      </c>
      <c r="M721">
        <f>tblOrders[[#This Row],[Quantity]]*tblOrders[[#This Row],[UnitPrice]]*(1-tblOrders[[#This Row],[Discount]])</f>
        <v>48000</v>
      </c>
      <c r="N721">
        <f>tblOrders[[#This Row],[Quantity]]*tblOrders[[#This Row],[UnitCost]]</f>
        <v>37200</v>
      </c>
      <c r="O721">
        <f>tblOrders[[#This Row],[Revenue]]-tblOrders[[#This Row],[Cost]]</f>
        <v>10800</v>
      </c>
      <c r="P721" t="str">
        <f>TEXT(tblOrders[[#This Row],[OrderDate]],"mmm")</f>
        <v>Aug</v>
      </c>
    </row>
    <row r="722" spans="1:16" x14ac:dyDescent="0.25">
      <c r="A722" t="s">
        <v>342</v>
      </c>
      <c r="B722" s="2">
        <v>45967</v>
      </c>
      <c r="C722" t="s">
        <v>27</v>
      </c>
      <c r="D722" t="s">
        <v>11</v>
      </c>
      <c r="E722" t="s">
        <v>12</v>
      </c>
      <c r="F722" t="s">
        <v>55</v>
      </c>
      <c r="G722">
        <v>10</v>
      </c>
      <c r="H722">
        <v>8000</v>
      </c>
      <c r="I722">
        <v>0.1</v>
      </c>
      <c r="J722" t="str">
        <f>_xlfn.XLOOKUP(tblOrders[[#This Row],[ProductID]],Products!$A$2:$A$9,Products!$B$2:$B$9,"Unknown")</f>
        <v>Printer</v>
      </c>
      <c r="K722" t="str">
        <f>_xlfn.XLOOKUP(tblOrders[[#This Row],[ProductID]],Products!$A$2:$A$9,Products!$C$2:$C$9,"Unknown")</f>
        <v>Electronics</v>
      </c>
      <c r="L722">
        <f>_xlfn.XLOOKUP(tblOrders[[#This Row],[ProductID]],Products!$A$2:$A$9,Products!$D$2:$D$9,0)</f>
        <v>6200</v>
      </c>
      <c r="M722">
        <f>tblOrders[[#This Row],[Quantity]]*tblOrders[[#This Row],[UnitPrice]]*(1-tblOrders[[#This Row],[Discount]])</f>
        <v>72000</v>
      </c>
      <c r="N722">
        <f>tblOrders[[#This Row],[Quantity]]*tblOrders[[#This Row],[UnitCost]]</f>
        <v>62000</v>
      </c>
      <c r="O722">
        <f>tblOrders[[#This Row],[Revenue]]-tblOrders[[#This Row],[Cost]]</f>
        <v>10000</v>
      </c>
      <c r="P722" t="str">
        <f>TEXT(tblOrders[[#This Row],[OrderDate]],"mmm")</f>
        <v>Nov</v>
      </c>
    </row>
    <row r="723" spans="1:16" x14ac:dyDescent="0.25">
      <c r="A723" t="s">
        <v>725</v>
      </c>
      <c r="B723" s="2">
        <v>45852</v>
      </c>
      <c r="C723" t="s">
        <v>123</v>
      </c>
      <c r="D723" t="s">
        <v>16</v>
      </c>
      <c r="E723" t="s">
        <v>17</v>
      </c>
      <c r="F723" t="s">
        <v>55</v>
      </c>
      <c r="G723">
        <v>11</v>
      </c>
      <c r="H723">
        <v>8000</v>
      </c>
      <c r="I723">
        <v>0.05</v>
      </c>
      <c r="J723" t="str">
        <f>_xlfn.XLOOKUP(tblOrders[[#This Row],[ProductID]],Products!$A$2:$A$9,Products!$B$2:$B$9,"Unknown")</f>
        <v>Printer</v>
      </c>
      <c r="K723" t="str">
        <f>_xlfn.XLOOKUP(tblOrders[[#This Row],[ProductID]],Products!$A$2:$A$9,Products!$C$2:$C$9,"Unknown")</f>
        <v>Electronics</v>
      </c>
      <c r="L723">
        <f>_xlfn.XLOOKUP(tblOrders[[#This Row],[ProductID]],Products!$A$2:$A$9,Products!$D$2:$D$9,0)</f>
        <v>6200</v>
      </c>
      <c r="M723">
        <f>tblOrders[[#This Row],[Quantity]]*tblOrders[[#This Row],[UnitPrice]]*(1-tblOrders[[#This Row],[Discount]])</f>
        <v>83600</v>
      </c>
      <c r="N723">
        <f>tblOrders[[#This Row],[Quantity]]*tblOrders[[#This Row],[UnitCost]]</f>
        <v>68200</v>
      </c>
      <c r="O723">
        <f>tblOrders[[#This Row],[Revenue]]-tblOrders[[#This Row],[Cost]]</f>
        <v>15400</v>
      </c>
      <c r="P723" t="str">
        <f>TEXT(tblOrders[[#This Row],[OrderDate]],"mmm")</f>
        <v>Jul</v>
      </c>
    </row>
    <row r="724" spans="1:16" x14ac:dyDescent="0.25">
      <c r="A724" t="s">
        <v>383</v>
      </c>
      <c r="B724" s="2">
        <v>45773</v>
      </c>
      <c r="C724" t="s">
        <v>107</v>
      </c>
      <c r="D724" t="s">
        <v>21</v>
      </c>
      <c r="E724" t="s">
        <v>22</v>
      </c>
      <c r="F724" t="s">
        <v>55</v>
      </c>
      <c r="G724">
        <v>6</v>
      </c>
      <c r="H724">
        <v>8000</v>
      </c>
      <c r="I724">
        <v>0</v>
      </c>
      <c r="J724" t="str">
        <f>_xlfn.XLOOKUP(tblOrders[[#This Row],[ProductID]],Products!$A$2:$A$9,Products!$B$2:$B$9,"Unknown")</f>
        <v>Printer</v>
      </c>
      <c r="K724" t="str">
        <f>_xlfn.XLOOKUP(tblOrders[[#This Row],[ProductID]],Products!$A$2:$A$9,Products!$C$2:$C$9,"Unknown")</f>
        <v>Electronics</v>
      </c>
      <c r="L724">
        <f>_xlfn.XLOOKUP(tblOrders[[#This Row],[ProductID]],Products!$A$2:$A$9,Products!$D$2:$D$9,0)</f>
        <v>6200</v>
      </c>
      <c r="M724">
        <f>tblOrders[[#This Row],[Quantity]]*tblOrders[[#This Row],[UnitPrice]]*(1-tblOrders[[#This Row],[Discount]])</f>
        <v>48000</v>
      </c>
      <c r="N724">
        <f>tblOrders[[#This Row],[Quantity]]*tblOrders[[#This Row],[UnitCost]]</f>
        <v>37200</v>
      </c>
      <c r="O724">
        <f>tblOrders[[#This Row],[Revenue]]-tblOrders[[#This Row],[Cost]]</f>
        <v>10800</v>
      </c>
      <c r="P724" t="str">
        <f>TEXT(tblOrders[[#This Row],[OrderDate]],"mmm")</f>
        <v>Apr</v>
      </c>
    </row>
    <row r="725" spans="1:16" x14ac:dyDescent="0.25">
      <c r="A725" t="s">
        <v>323</v>
      </c>
      <c r="B725" s="2">
        <v>45938</v>
      </c>
      <c r="C725" t="s">
        <v>36</v>
      </c>
      <c r="D725" t="s">
        <v>16</v>
      </c>
      <c r="E725" t="s">
        <v>17</v>
      </c>
      <c r="F725" t="s">
        <v>34</v>
      </c>
      <c r="G725">
        <v>11</v>
      </c>
      <c r="H725">
        <v>55000</v>
      </c>
      <c r="I725">
        <v>0</v>
      </c>
      <c r="J725" t="str">
        <f>_xlfn.XLOOKUP(tblOrders[[#This Row],[ProductID]],Products!$A$2:$A$9,Products!$B$2:$B$9,"Unknown")</f>
        <v>Laptop</v>
      </c>
      <c r="K725" t="str">
        <f>_xlfn.XLOOKUP(tblOrders[[#This Row],[ProductID]],Products!$A$2:$A$9,Products!$C$2:$C$9,"Unknown")</f>
        <v>Electronics</v>
      </c>
      <c r="L725">
        <f>_xlfn.XLOOKUP(tblOrders[[#This Row],[ProductID]],Products!$A$2:$A$9,Products!$D$2:$D$9,0)</f>
        <v>41000</v>
      </c>
      <c r="M725">
        <f>tblOrders[[#This Row],[Quantity]]*tblOrders[[#This Row],[UnitPrice]]*(1-tblOrders[[#This Row],[Discount]])</f>
        <v>605000</v>
      </c>
      <c r="N725">
        <f>tblOrders[[#This Row],[Quantity]]*tblOrders[[#This Row],[UnitCost]]</f>
        <v>451000</v>
      </c>
      <c r="O725">
        <f>tblOrders[[#This Row],[Revenue]]-tblOrders[[#This Row],[Cost]]</f>
        <v>154000</v>
      </c>
      <c r="P725" t="str">
        <f>TEXT(tblOrders[[#This Row],[OrderDate]],"mmm")</f>
        <v>Oct</v>
      </c>
    </row>
    <row r="726" spans="1:16" x14ac:dyDescent="0.25">
      <c r="A726" t="s">
        <v>347</v>
      </c>
      <c r="B726" s="2">
        <v>45807</v>
      </c>
      <c r="C726" t="s">
        <v>80</v>
      </c>
      <c r="D726" t="s">
        <v>21</v>
      </c>
      <c r="E726" t="s">
        <v>28</v>
      </c>
      <c r="F726" t="s">
        <v>43</v>
      </c>
      <c r="G726">
        <v>5</v>
      </c>
      <c r="H726">
        <v>1500</v>
      </c>
      <c r="I726">
        <v>0</v>
      </c>
      <c r="J726" t="str">
        <f>_xlfn.XLOOKUP(tblOrders[[#This Row],[ProductID]],Products!$A$2:$A$9,Products!$B$2:$B$9,"Unknown")</f>
        <v>Webcam</v>
      </c>
      <c r="K726" t="str">
        <f>_xlfn.XLOOKUP(tblOrders[[#This Row],[ProductID]],Products!$A$2:$A$9,Products!$C$2:$C$9,"Unknown")</f>
        <v>Accessories</v>
      </c>
      <c r="L726">
        <f>_xlfn.XLOOKUP(tblOrders[[#This Row],[ProductID]],Products!$A$2:$A$9,Products!$D$2:$D$9,0)</f>
        <v>980</v>
      </c>
      <c r="M726">
        <f>tblOrders[[#This Row],[Quantity]]*tblOrders[[#This Row],[UnitPrice]]*(1-tblOrders[[#This Row],[Discount]])</f>
        <v>7500</v>
      </c>
      <c r="N726">
        <f>tblOrders[[#This Row],[Quantity]]*tblOrders[[#This Row],[UnitCost]]</f>
        <v>4900</v>
      </c>
      <c r="O726">
        <f>tblOrders[[#This Row],[Revenue]]-tblOrders[[#This Row],[Cost]]</f>
        <v>2600</v>
      </c>
      <c r="P726" t="str">
        <f>TEXT(tblOrders[[#This Row],[OrderDate]],"mmm")</f>
        <v>May</v>
      </c>
    </row>
    <row r="727" spans="1:16" x14ac:dyDescent="0.25">
      <c r="A727" t="s">
        <v>300</v>
      </c>
      <c r="B727" s="2">
        <v>45668</v>
      </c>
      <c r="C727" t="s">
        <v>229</v>
      </c>
      <c r="D727" t="s">
        <v>39</v>
      </c>
      <c r="E727" t="s">
        <v>40</v>
      </c>
      <c r="F727" t="s">
        <v>43</v>
      </c>
      <c r="G727">
        <v>8</v>
      </c>
      <c r="H727">
        <v>1500</v>
      </c>
      <c r="I727">
        <v>0</v>
      </c>
      <c r="J727" t="str">
        <f>_xlfn.XLOOKUP(tblOrders[[#This Row],[ProductID]],Products!$A$2:$A$9,Products!$B$2:$B$9,"Unknown")</f>
        <v>Webcam</v>
      </c>
      <c r="K727" t="str">
        <f>_xlfn.XLOOKUP(tblOrders[[#This Row],[ProductID]],Products!$A$2:$A$9,Products!$C$2:$C$9,"Unknown")</f>
        <v>Accessories</v>
      </c>
      <c r="L727">
        <f>_xlfn.XLOOKUP(tblOrders[[#This Row],[ProductID]],Products!$A$2:$A$9,Products!$D$2:$D$9,0)</f>
        <v>980</v>
      </c>
      <c r="M727">
        <f>tblOrders[[#This Row],[Quantity]]*tblOrders[[#This Row],[UnitPrice]]*(1-tblOrders[[#This Row],[Discount]])</f>
        <v>12000</v>
      </c>
      <c r="N727">
        <f>tblOrders[[#This Row],[Quantity]]*tblOrders[[#This Row],[UnitCost]]</f>
        <v>7840</v>
      </c>
      <c r="O727">
        <f>tblOrders[[#This Row],[Revenue]]-tblOrders[[#This Row],[Cost]]</f>
        <v>4160</v>
      </c>
      <c r="P727" t="str">
        <f>TEXT(tblOrders[[#This Row],[OrderDate]],"mmm")</f>
        <v>Jan</v>
      </c>
    </row>
    <row r="728" spans="1:16" x14ac:dyDescent="0.25">
      <c r="A728" t="s">
        <v>571</v>
      </c>
      <c r="B728" s="2">
        <v>46013</v>
      </c>
      <c r="C728" t="s">
        <v>38</v>
      </c>
      <c r="D728" t="s">
        <v>11</v>
      </c>
      <c r="E728" t="s">
        <v>12</v>
      </c>
      <c r="F728" t="s">
        <v>23</v>
      </c>
      <c r="G728">
        <v>14</v>
      </c>
      <c r="H728">
        <v>900</v>
      </c>
      <c r="I728">
        <v>0</v>
      </c>
      <c r="J728" t="str">
        <f>_xlfn.XLOOKUP(tblOrders[[#This Row],[ProductID]],Products!$A$2:$A$9,Products!$B$2:$B$9,"Unknown")</f>
        <v>Keyboard</v>
      </c>
      <c r="K728" t="str">
        <f>_xlfn.XLOOKUP(tblOrders[[#This Row],[ProductID]],Products!$A$2:$A$9,Products!$C$2:$C$9,"Unknown")</f>
        <v>Accessories</v>
      </c>
      <c r="L728">
        <f>_xlfn.XLOOKUP(tblOrders[[#This Row],[ProductID]],Products!$A$2:$A$9,Products!$D$2:$D$9,0)</f>
        <v>600</v>
      </c>
      <c r="M728">
        <f>tblOrders[[#This Row],[Quantity]]*tblOrders[[#This Row],[UnitPrice]]*(1-tblOrders[[#This Row],[Discount]])</f>
        <v>12600</v>
      </c>
      <c r="N728">
        <f>tblOrders[[#This Row],[Quantity]]*tblOrders[[#This Row],[UnitCost]]</f>
        <v>8400</v>
      </c>
      <c r="O728">
        <f>tblOrders[[#This Row],[Revenue]]-tblOrders[[#This Row],[Cost]]</f>
        <v>4200</v>
      </c>
      <c r="P728" t="str">
        <f>TEXT(tblOrders[[#This Row],[OrderDate]],"mmm")</f>
        <v>Dec</v>
      </c>
    </row>
    <row r="729" spans="1:16" x14ac:dyDescent="0.25">
      <c r="A729" t="s">
        <v>143</v>
      </c>
      <c r="B729" s="2">
        <v>45996</v>
      </c>
      <c r="C729" t="s">
        <v>144</v>
      </c>
      <c r="D729" t="s">
        <v>21</v>
      </c>
      <c r="E729" t="s">
        <v>28</v>
      </c>
      <c r="F729" t="s">
        <v>69</v>
      </c>
      <c r="G729">
        <v>9</v>
      </c>
      <c r="H729">
        <v>12000</v>
      </c>
      <c r="I729">
        <v>0.15</v>
      </c>
      <c r="J729" t="str">
        <f>_xlfn.XLOOKUP(tblOrders[[#This Row],[ProductID]],Products!$A$2:$A$9,Products!$B$2:$B$9,"Unknown")</f>
        <v>Monitor</v>
      </c>
      <c r="K729" t="str">
        <f>_xlfn.XLOOKUP(tblOrders[[#This Row],[ProductID]],Products!$A$2:$A$9,Products!$C$2:$C$9,"Unknown")</f>
        <v>Electronics</v>
      </c>
      <c r="L729">
        <f>_xlfn.XLOOKUP(tblOrders[[#This Row],[ProductID]],Products!$A$2:$A$9,Products!$D$2:$D$9,0)</f>
        <v>9000</v>
      </c>
      <c r="M729">
        <f>tblOrders[[#This Row],[Quantity]]*tblOrders[[#This Row],[UnitPrice]]*(1-tblOrders[[#This Row],[Discount]])</f>
        <v>91800</v>
      </c>
      <c r="N729">
        <f>tblOrders[[#This Row],[Quantity]]*tblOrders[[#This Row],[UnitCost]]</f>
        <v>81000</v>
      </c>
      <c r="O729">
        <f>tblOrders[[#This Row],[Revenue]]-tblOrders[[#This Row],[Cost]]</f>
        <v>10800</v>
      </c>
      <c r="P729" t="str">
        <f>TEXT(tblOrders[[#This Row],[OrderDate]],"mmm")</f>
        <v>Dec</v>
      </c>
    </row>
    <row r="730" spans="1:16" x14ac:dyDescent="0.25">
      <c r="A730" t="s">
        <v>615</v>
      </c>
      <c r="B730" s="2">
        <v>45899</v>
      </c>
      <c r="C730" t="s">
        <v>195</v>
      </c>
      <c r="D730" t="s">
        <v>11</v>
      </c>
      <c r="E730" t="s">
        <v>12</v>
      </c>
      <c r="F730" t="s">
        <v>23</v>
      </c>
      <c r="G730">
        <v>9</v>
      </c>
      <c r="H730">
        <v>900</v>
      </c>
      <c r="I730">
        <v>0.05</v>
      </c>
      <c r="J730" t="str">
        <f>_xlfn.XLOOKUP(tblOrders[[#This Row],[ProductID]],Products!$A$2:$A$9,Products!$B$2:$B$9,"Unknown")</f>
        <v>Keyboard</v>
      </c>
      <c r="K730" t="str">
        <f>_xlfn.XLOOKUP(tblOrders[[#This Row],[ProductID]],Products!$A$2:$A$9,Products!$C$2:$C$9,"Unknown")</f>
        <v>Accessories</v>
      </c>
      <c r="L730">
        <f>_xlfn.XLOOKUP(tblOrders[[#This Row],[ProductID]],Products!$A$2:$A$9,Products!$D$2:$D$9,0)</f>
        <v>600</v>
      </c>
      <c r="M730">
        <f>tblOrders[[#This Row],[Quantity]]*tblOrders[[#This Row],[UnitPrice]]*(1-tblOrders[[#This Row],[Discount]])</f>
        <v>7695</v>
      </c>
      <c r="N730">
        <f>tblOrders[[#This Row],[Quantity]]*tblOrders[[#This Row],[UnitCost]]</f>
        <v>5400</v>
      </c>
      <c r="O730">
        <f>tblOrders[[#This Row],[Revenue]]-tblOrders[[#This Row],[Cost]]</f>
        <v>2295</v>
      </c>
      <c r="P730" t="str">
        <f>TEXT(tblOrders[[#This Row],[OrderDate]],"mmm")</f>
        <v>Aug</v>
      </c>
    </row>
    <row r="731" spans="1:16" x14ac:dyDescent="0.25">
      <c r="A731" t="s">
        <v>1055</v>
      </c>
      <c r="B731" s="2">
        <v>45799</v>
      </c>
      <c r="C731" t="s">
        <v>36</v>
      </c>
      <c r="D731" t="s">
        <v>21</v>
      </c>
      <c r="E731" t="s">
        <v>22</v>
      </c>
      <c r="F731" t="s">
        <v>23</v>
      </c>
      <c r="G731">
        <v>10</v>
      </c>
      <c r="H731">
        <v>900</v>
      </c>
      <c r="I731">
        <v>0</v>
      </c>
      <c r="J731" t="str">
        <f>_xlfn.XLOOKUP(tblOrders[[#This Row],[ProductID]],Products!$A$2:$A$9,Products!$B$2:$B$9,"Unknown")</f>
        <v>Keyboard</v>
      </c>
      <c r="K731" t="str">
        <f>_xlfn.XLOOKUP(tblOrders[[#This Row],[ProductID]],Products!$A$2:$A$9,Products!$C$2:$C$9,"Unknown")</f>
        <v>Accessories</v>
      </c>
      <c r="L731">
        <f>_xlfn.XLOOKUP(tblOrders[[#This Row],[ProductID]],Products!$A$2:$A$9,Products!$D$2:$D$9,0)</f>
        <v>600</v>
      </c>
      <c r="M731">
        <f>tblOrders[[#This Row],[Quantity]]*tblOrders[[#This Row],[UnitPrice]]*(1-tblOrders[[#This Row],[Discount]])</f>
        <v>9000</v>
      </c>
      <c r="N731">
        <f>tblOrders[[#This Row],[Quantity]]*tblOrders[[#This Row],[UnitCost]]</f>
        <v>6000</v>
      </c>
      <c r="O731">
        <f>tblOrders[[#This Row],[Revenue]]-tblOrders[[#This Row],[Cost]]</f>
        <v>3000</v>
      </c>
      <c r="P731" t="str">
        <f>TEXT(tblOrders[[#This Row],[OrderDate]],"mmm")</f>
        <v>May</v>
      </c>
    </row>
    <row r="732" spans="1:16" x14ac:dyDescent="0.25">
      <c r="A732" t="s">
        <v>394</v>
      </c>
      <c r="B732" s="2">
        <v>45805</v>
      </c>
      <c r="C732" t="s">
        <v>50</v>
      </c>
      <c r="D732" t="s">
        <v>16</v>
      </c>
      <c r="E732" t="s">
        <v>17</v>
      </c>
      <c r="F732" t="s">
        <v>64</v>
      </c>
      <c r="G732">
        <v>13</v>
      </c>
      <c r="H732">
        <v>500</v>
      </c>
      <c r="I732">
        <v>0.05</v>
      </c>
      <c r="J732" t="str">
        <f>_xlfn.XLOOKUP(tblOrders[[#This Row],[ProductID]],Products!$A$2:$A$9,Products!$B$2:$B$9,"Unknown")</f>
        <v>Mouse</v>
      </c>
      <c r="K732" t="str">
        <f>_xlfn.XLOOKUP(tblOrders[[#This Row],[ProductID]],Products!$A$2:$A$9,Products!$C$2:$C$9,"Unknown")</f>
        <v>Accessories</v>
      </c>
      <c r="L732">
        <f>_xlfn.XLOOKUP(tblOrders[[#This Row],[ProductID]],Products!$A$2:$A$9,Products!$D$2:$D$9,0)</f>
        <v>320</v>
      </c>
      <c r="M732">
        <f>tblOrders[[#This Row],[Quantity]]*tblOrders[[#This Row],[UnitPrice]]*(1-tblOrders[[#This Row],[Discount]])</f>
        <v>6175</v>
      </c>
      <c r="N732">
        <f>tblOrders[[#This Row],[Quantity]]*tblOrders[[#This Row],[UnitCost]]</f>
        <v>4160</v>
      </c>
      <c r="O732">
        <f>tblOrders[[#This Row],[Revenue]]-tblOrders[[#This Row],[Cost]]</f>
        <v>2015</v>
      </c>
      <c r="P732" t="str">
        <f>TEXT(tblOrders[[#This Row],[OrderDate]],"mmm")</f>
        <v>May</v>
      </c>
    </row>
    <row r="733" spans="1:16" x14ac:dyDescent="0.25">
      <c r="A733" t="s">
        <v>740</v>
      </c>
      <c r="B733" s="2">
        <v>45840</v>
      </c>
      <c r="C733" t="s">
        <v>153</v>
      </c>
      <c r="D733" t="s">
        <v>11</v>
      </c>
      <c r="E733" t="s">
        <v>12</v>
      </c>
      <c r="F733" t="s">
        <v>43</v>
      </c>
      <c r="G733">
        <v>9</v>
      </c>
      <c r="H733">
        <v>1500</v>
      </c>
      <c r="I733">
        <v>0</v>
      </c>
      <c r="J733" t="str">
        <f>_xlfn.XLOOKUP(tblOrders[[#This Row],[ProductID]],Products!$A$2:$A$9,Products!$B$2:$B$9,"Unknown")</f>
        <v>Webcam</v>
      </c>
      <c r="K733" t="str">
        <f>_xlfn.XLOOKUP(tblOrders[[#This Row],[ProductID]],Products!$A$2:$A$9,Products!$C$2:$C$9,"Unknown")</f>
        <v>Accessories</v>
      </c>
      <c r="L733">
        <f>_xlfn.XLOOKUP(tblOrders[[#This Row],[ProductID]],Products!$A$2:$A$9,Products!$D$2:$D$9,0)</f>
        <v>980</v>
      </c>
      <c r="M733">
        <f>tblOrders[[#This Row],[Quantity]]*tblOrders[[#This Row],[UnitPrice]]*(1-tblOrders[[#This Row],[Discount]])</f>
        <v>13500</v>
      </c>
      <c r="N733">
        <f>tblOrders[[#This Row],[Quantity]]*tblOrders[[#This Row],[UnitCost]]</f>
        <v>8820</v>
      </c>
      <c r="O733">
        <f>tblOrders[[#This Row],[Revenue]]-tblOrders[[#This Row],[Cost]]</f>
        <v>4680</v>
      </c>
      <c r="P733" t="str">
        <f>TEXT(tblOrders[[#This Row],[OrderDate]],"mmm")</f>
        <v>Jul</v>
      </c>
    </row>
    <row r="734" spans="1:16" x14ac:dyDescent="0.25">
      <c r="A734" t="s">
        <v>880</v>
      </c>
      <c r="B734" s="2">
        <v>45854</v>
      </c>
      <c r="C734" t="s">
        <v>27</v>
      </c>
      <c r="D734" t="s">
        <v>39</v>
      </c>
      <c r="E734" t="s">
        <v>40</v>
      </c>
      <c r="F734" t="s">
        <v>18</v>
      </c>
      <c r="G734">
        <v>2</v>
      </c>
      <c r="H734">
        <v>18000</v>
      </c>
      <c r="I734">
        <v>0</v>
      </c>
      <c r="J734" t="str">
        <f>_xlfn.XLOOKUP(tblOrders[[#This Row],[ProductID]],Products!$A$2:$A$9,Products!$B$2:$B$9,"Unknown")</f>
        <v>Tablet</v>
      </c>
      <c r="K734" t="str">
        <f>_xlfn.XLOOKUP(tblOrders[[#This Row],[ProductID]],Products!$A$2:$A$9,Products!$C$2:$C$9,"Unknown")</f>
        <v>Electronics</v>
      </c>
      <c r="L734">
        <f>_xlfn.XLOOKUP(tblOrders[[#This Row],[ProductID]],Products!$A$2:$A$9,Products!$D$2:$D$9,0)</f>
        <v>13500</v>
      </c>
      <c r="M734">
        <f>tblOrders[[#This Row],[Quantity]]*tblOrders[[#This Row],[UnitPrice]]*(1-tblOrders[[#This Row],[Discount]])</f>
        <v>36000</v>
      </c>
      <c r="N734">
        <f>tblOrders[[#This Row],[Quantity]]*tblOrders[[#This Row],[UnitCost]]</f>
        <v>27000</v>
      </c>
      <c r="O734">
        <f>tblOrders[[#This Row],[Revenue]]-tblOrders[[#This Row],[Cost]]</f>
        <v>9000</v>
      </c>
      <c r="P734" t="str">
        <f>TEXT(tblOrders[[#This Row],[OrderDate]],"mmm")</f>
        <v>Jul</v>
      </c>
    </row>
    <row r="735" spans="1:16" x14ac:dyDescent="0.25">
      <c r="A735" t="s">
        <v>909</v>
      </c>
      <c r="B735" s="2">
        <v>45881</v>
      </c>
      <c r="C735" t="s">
        <v>25</v>
      </c>
      <c r="D735" t="s">
        <v>39</v>
      </c>
      <c r="E735" t="s">
        <v>40</v>
      </c>
      <c r="F735" t="s">
        <v>64</v>
      </c>
      <c r="G735">
        <v>11</v>
      </c>
      <c r="H735">
        <v>500</v>
      </c>
      <c r="I735">
        <v>0.1</v>
      </c>
      <c r="J735" t="str">
        <f>_xlfn.XLOOKUP(tblOrders[[#This Row],[ProductID]],Products!$A$2:$A$9,Products!$B$2:$B$9,"Unknown")</f>
        <v>Mouse</v>
      </c>
      <c r="K735" t="str">
        <f>_xlfn.XLOOKUP(tblOrders[[#This Row],[ProductID]],Products!$A$2:$A$9,Products!$C$2:$C$9,"Unknown")</f>
        <v>Accessories</v>
      </c>
      <c r="L735">
        <f>_xlfn.XLOOKUP(tblOrders[[#This Row],[ProductID]],Products!$A$2:$A$9,Products!$D$2:$D$9,0)</f>
        <v>320</v>
      </c>
      <c r="M735">
        <f>tblOrders[[#This Row],[Quantity]]*tblOrders[[#This Row],[UnitPrice]]*(1-tblOrders[[#This Row],[Discount]])</f>
        <v>4950</v>
      </c>
      <c r="N735">
        <f>tblOrders[[#This Row],[Quantity]]*tblOrders[[#This Row],[UnitCost]]</f>
        <v>3520</v>
      </c>
      <c r="O735">
        <f>tblOrders[[#This Row],[Revenue]]-tblOrders[[#This Row],[Cost]]</f>
        <v>1430</v>
      </c>
      <c r="P735" t="str">
        <f>TEXT(tblOrders[[#This Row],[OrderDate]],"mmm")</f>
        <v>Aug</v>
      </c>
    </row>
    <row r="736" spans="1:16" x14ac:dyDescent="0.25">
      <c r="A736" t="s">
        <v>829</v>
      </c>
      <c r="B736" s="2">
        <v>46003</v>
      </c>
      <c r="C736" t="s">
        <v>45</v>
      </c>
      <c r="D736" t="s">
        <v>21</v>
      </c>
      <c r="E736" t="s">
        <v>22</v>
      </c>
      <c r="F736" t="s">
        <v>13</v>
      </c>
      <c r="G736">
        <v>8</v>
      </c>
      <c r="H736">
        <v>2000</v>
      </c>
      <c r="I736">
        <v>0.15</v>
      </c>
      <c r="J736" t="str">
        <f>_xlfn.XLOOKUP(tblOrders[[#This Row],[ProductID]],Products!$A$2:$A$9,Products!$B$2:$B$9,"Unknown")</f>
        <v>Headset</v>
      </c>
      <c r="K736" t="str">
        <f>_xlfn.XLOOKUP(tblOrders[[#This Row],[ProductID]],Products!$A$2:$A$9,Products!$C$2:$C$9,"Unknown")</f>
        <v>Accessories</v>
      </c>
      <c r="L736">
        <f>_xlfn.XLOOKUP(tblOrders[[#This Row],[ProductID]],Products!$A$2:$A$9,Products!$D$2:$D$9,0)</f>
        <v>1300</v>
      </c>
      <c r="M736">
        <f>tblOrders[[#This Row],[Quantity]]*tblOrders[[#This Row],[UnitPrice]]*(1-tblOrders[[#This Row],[Discount]])</f>
        <v>13600</v>
      </c>
      <c r="N736">
        <f>tblOrders[[#This Row],[Quantity]]*tblOrders[[#This Row],[UnitCost]]</f>
        <v>10400</v>
      </c>
      <c r="O736">
        <f>tblOrders[[#This Row],[Revenue]]-tblOrders[[#This Row],[Cost]]</f>
        <v>3200</v>
      </c>
      <c r="P736" t="str">
        <f>TEXT(tblOrders[[#This Row],[OrderDate]],"mmm")</f>
        <v>Dec</v>
      </c>
    </row>
    <row r="737" spans="1:16" x14ac:dyDescent="0.25">
      <c r="A737" t="s">
        <v>126</v>
      </c>
      <c r="B737" s="2">
        <v>45858</v>
      </c>
      <c r="C737" t="s">
        <v>30</v>
      </c>
      <c r="D737" t="s">
        <v>16</v>
      </c>
      <c r="E737" t="s">
        <v>17</v>
      </c>
      <c r="F737" t="s">
        <v>23</v>
      </c>
      <c r="G737">
        <v>3</v>
      </c>
      <c r="H737">
        <v>900</v>
      </c>
      <c r="I737">
        <v>0</v>
      </c>
      <c r="J737" t="str">
        <f>_xlfn.XLOOKUP(tblOrders[[#This Row],[ProductID]],Products!$A$2:$A$9,Products!$B$2:$B$9,"Unknown")</f>
        <v>Keyboard</v>
      </c>
      <c r="K737" t="str">
        <f>_xlfn.XLOOKUP(tblOrders[[#This Row],[ProductID]],Products!$A$2:$A$9,Products!$C$2:$C$9,"Unknown")</f>
        <v>Accessories</v>
      </c>
      <c r="L737">
        <f>_xlfn.XLOOKUP(tblOrders[[#This Row],[ProductID]],Products!$A$2:$A$9,Products!$D$2:$D$9,0)</f>
        <v>600</v>
      </c>
      <c r="M737">
        <f>tblOrders[[#This Row],[Quantity]]*tblOrders[[#This Row],[UnitPrice]]*(1-tblOrders[[#This Row],[Discount]])</f>
        <v>2700</v>
      </c>
      <c r="N737">
        <f>tblOrders[[#This Row],[Quantity]]*tblOrders[[#This Row],[UnitCost]]</f>
        <v>1800</v>
      </c>
      <c r="O737">
        <f>tblOrders[[#This Row],[Revenue]]-tblOrders[[#This Row],[Cost]]</f>
        <v>900</v>
      </c>
      <c r="P737" t="str">
        <f>TEXT(tblOrders[[#This Row],[OrderDate]],"mmm")</f>
        <v>Jul</v>
      </c>
    </row>
    <row r="738" spans="1:16" x14ac:dyDescent="0.25">
      <c r="A738" t="s">
        <v>732</v>
      </c>
      <c r="B738" s="2">
        <v>45748</v>
      </c>
      <c r="C738" t="s">
        <v>333</v>
      </c>
      <c r="D738" t="s">
        <v>11</v>
      </c>
      <c r="E738" t="s">
        <v>46</v>
      </c>
      <c r="F738" t="s">
        <v>69</v>
      </c>
      <c r="G738">
        <v>10</v>
      </c>
      <c r="H738">
        <v>12000</v>
      </c>
      <c r="I738">
        <v>0.1</v>
      </c>
      <c r="J738" t="str">
        <f>_xlfn.XLOOKUP(tblOrders[[#This Row],[ProductID]],Products!$A$2:$A$9,Products!$B$2:$B$9,"Unknown")</f>
        <v>Monitor</v>
      </c>
      <c r="K738" t="str">
        <f>_xlfn.XLOOKUP(tblOrders[[#This Row],[ProductID]],Products!$A$2:$A$9,Products!$C$2:$C$9,"Unknown")</f>
        <v>Electronics</v>
      </c>
      <c r="L738">
        <f>_xlfn.XLOOKUP(tblOrders[[#This Row],[ProductID]],Products!$A$2:$A$9,Products!$D$2:$D$9,0)</f>
        <v>9000</v>
      </c>
      <c r="M738">
        <f>tblOrders[[#This Row],[Quantity]]*tblOrders[[#This Row],[UnitPrice]]*(1-tblOrders[[#This Row],[Discount]])</f>
        <v>108000</v>
      </c>
      <c r="N738">
        <f>tblOrders[[#This Row],[Quantity]]*tblOrders[[#This Row],[UnitCost]]</f>
        <v>90000</v>
      </c>
      <c r="O738">
        <f>tblOrders[[#This Row],[Revenue]]-tblOrders[[#This Row],[Cost]]</f>
        <v>18000</v>
      </c>
      <c r="P738" t="str">
        <f>TEXT(tblOrders[[#This Row],[OrderDate]],"mmm")</f>
        <v>Apr</v>
      </c>
    </row>
    <row r="739" spans="1:16" x14ac:dyDescent="0.25">
      <c r="A739" t="s">
        <v>133</v>
      </c>
      <c r="B739" s="2">
        <v>45703</v>
      </c>
      <c r="C739" t="s">
        <v>42</v>
      </c>
      <c r="D739" t="s">
        <v>39</v>
      </c>
      <c r="E739" t="s">
        <v>76</v>
      </c>
      <c r="F739" t="s">
        <v>34</v>
      </c>
      <c r="G739">
        <v>9</v>
      </c>
      <c r="H739">
        <v>55000</v>
      </c>
      <c r="I739">
        <v>0</v>
      </c>
      <c r="J739" t="str">
        <f>_xlfn.XLOOKUP(tblOrders[[#This Row],[ProductID]],Products!$A$2:$A$9,Products!$B$2:$B$9,"Unknown")</f>
        <v>Laptop</v>
      </c>
      <c r="K739" t="str">
        <f>_xlfn.XLOOKUP(tblOrders[[#This Row],[ProductID]],Products!$A$2:$A$9,Products!$C$2:$C$9,"Unknown")</f>
        <v>Electronics</v>
      </c>
      <c r="L739">
        <f>_xlfn.XLOOKUP(tblOrders[[#This Row],[ProductID]],Products!$A$2:$A$9,Products!$D$2:$D$9,0)</f>
        <v>41000</v>
      </c>
      <c r="M739">
        <f>tblOrders[[#This Row],[Quantity]]*tblOrders[[#This Row],[UnitPrice]]*(1-tblOrders[[#This Row],[Discount]])</f>
        <v>495000</v>
      </c>
      <c r="N739">
        <f>tblOrders[[#This Row],[Quantity]]*tblOrders[[#This Row],[UnitCost]]</f>
        <v>369000</v>
      </c>
      <c r="O739">
        <f>tblOrders[[#This Row],[Revenue]]-tblOrders[[#This Row],[Cost]]</f>
        <v>126000</v>
      </c>
      <c r="P739" t="str">
        <f>TEXT(tblOrders[[#This Row],[OrderDate]],"mmm")</f>
        <v>Feb</v>
      </c>
    </row>
    <row r="740" spans="1:16" x14ac:dyDescent="0.25">
      <c r="A740" t="s">
        <v>939</v>
      </c>
      <c r="B740" s="2">
        <v>45697</v>
      </c>
      <c r="C740" t="s">
        <v>162</v>
      </c>
      <c r="D740" t="s">
        <v>39</v>
      </c>
      <c r="E740" t="s">
        <v>76</v>
      </c>
      <c r="F740" t="s">
        <v>69</v>
      </c>
      <c r="G740">
        <v>14</v>
      </c>
      <c r="H740">
        <v>12000</v>
      </c>
      <c r="I740">
        <v>0</v>
      </c>
      <c r="J740" t="str">
        <f>_xlfn.XLOOKUP(tblOrders[[#This Row],[ProductID]],Products!$A$2:$A$9,Products!$B$2:$B$9,"Unknown")</f>
        <v>Monitor</v>
      </c>
      <c r="K740" t="str">
        <f>_xlfn.XLOOKUP(tblOrders[[#This Row],[ProductID]],Products!$A$2:$A$9,Products!$C$2:$C$9,"Unknown")</f>
        <v>Electronics</v>
      </c>
      <c r="L740">
        <f>_xlfn.XLOOKUP(tblOrders[[#This Row],[ProductID]],Products!$A$2:$A$9,Products!$D$2:$D$9,0)</f>
        <v>9000</v>
      </c>
      <c r="M740">
        <f>tblOrders[[#This Row],[Quantity]]*tblOrders[[#This Row],[UnitPrice]]*(1-tblOrders[[#This Row],[Discount]])</f>
        <v>168000</v>
      </c>
      <c r="N740">
        <f>tblOrders[[#This Row],[Quantity]]*tblOrders[[#This Row],[UnitCost]]</f>
        <v>126000</v>
      </c>
      <c r="O740">
        <f>tblOrders[[#This Row],[Revenue]]-tblOrders[[#This Row],[Cost]]</f>
        <v>42000</v>
      </c>
      <c r="P740" t="str">
        <f>TEXT(tblOrders[[#This Row],[OrderDate]],"mmm")</f>
        <v>Feb</v>
      </c>
    </row>
    <row r="741" spans="1:16" x14ac:dyDescent="0.25">
      <c r="A741" t="s">
        <v>108</v>
      </c>
      <c r="B741" s="2">
        <v>45804</v>
      </c>
      <c r="C741" t="s">
        <v>38</v>
      </c>
      <c r="D741" t="s">
        <v>21</v>
      </c>
      <c r="E741" t="s">
        <v>28</v>
      </c>
      <c r="F741" t="s">
        <v>43</v>
      </c>
      <c r="G741">
        <v>14</v>
      </c>
      <c r="H741">
        <v>1500</v>
      </c>
      <c r="I741">
        <v>0.1</v>
      </c>
      <c r="J741" t="str">
        <f>_xlfn.XLOOKUP(tblOrders[[#This Row],[ProductID]],Products!$A$2:$A$9,Products!$B$2:$B$9,"Unknown")</f>
        <v>Webcam</v>
      </c>
      <c r="K741" t="str">
        <f>_xlfn.XLOOKUP(tblOrders[[#This Row],[ProductID]],Products!$A$2:$A$9,Products!$C$2:$C$9,"Unknown")</f>
        <v>Accessories</v>
      </c>
      <c r="L741">
        <f>_xlfn.XLOOKUP(tblOrders[[#This Row],[ProductID]],Products!$A$2:$A$9,Products!$D$2:$D$9,0)</f>
        <v>980</v>
      </c>
      <c r="M741">
        <f>tblOrders[[#This Row],[Quantity]]*tblOrders[[#This Row],[UnitPrice]]*(1-tblOrders[[#This Row],[Discount]])</f>
        <v>18900</v>
      </c>
      <c r="N741">
        <f>tblOrders[[#This Row],[Quantity]]*tblOrders[[#This Row],[UnitCost]]</f>
        <v>13720</v>
      </c>
      <c r="O741">
        <f>tblOrders[[#This Row],[Revenue]]-tblOrders[[#This Row],[Cost]]</f>
        <v>5180</v>
      </c>
      <c r="P741" t="str">
        <f>TEXT(tblOrders[[#This Row],[OrderDate]],"mmm")</f>
        <v>May</v>
      </c>
    </row>
    <row r="742" spans="1:16" x14ac:dyDescent="0.25">
      <c r="A742" t="s">
        <v>415</v>
      </c>
      <c r="B742" s="2">
        <v>45823</v>
      </c>
      <c r="C742" t="s">
        <v>151</v>
      </c>
      <c r="D742" t="s">
        <v>11</v>
      </c>
      <c r="E742" t="s">
        <v>12</v>
      </c>
      <c r="F742" t="s">
        <v>23</v>
      </c>
      <c r="G742">
        <v>6</v>
      </c>
      <c r="H742">
        <v>900</v>
      </c>
      <c r="I742">
        <v>0.1</v>
      </c>
      <c r="J742" t="str">
        <f>_xlfn.XLOOKUP(tblOrders[[#This Row],[ProductID]],Products!$A$2:$A$9,Products!$B$2:$B$9,"Unknown")</f>
        <v>Keyboard</v>
      </c>
      <c r="K742" t="str">
        <f>_xlfn.XLOOKUP(tblOrders[[#This Row],[ProductID]],Products!$A$2:$A$9,Products!$C$2:$C$9,"Unknown")</f>
        <v>Accessories</v>
      </c>
      <c r="L742">
        <f>_xlfn.XLOOKUP(tblOrders[[#This Row],[ProductID]],Products!$A$2:$A$9,Products!$D$2:$D$9,0)</f>
        <v>600</v>
      </c>
      <c r="M742">
        <f>tblOrders[[#This Row],[Quantity]]*tblOrders[[#This Row],[UnitPrice]]*(1-tblOrders[[#This Row],[Discount]])</f>
        <v>4860</v>
      </c>
      <c r="N742">
        <f>tblOrders[[#This Row],[Quantity]]*tblOrders[[#This Row],[UnitCost]]</f>
        <v>3600</v>
      </c>
      <c r="O742">
        <f>tblOrders[[#This Row],[Revenue]]-tblOrders[[#This Row],[Cost]]</f>
        <v>1260</v>
      </c>
      <c r="P742" t="str">
        <f>TEXT(tblOrders[[#This Row],[OrderDate]],"mmm")</f>
        <v>Jun</v>
      </c>
    </row>
    <row r="743" spans="1:16" x14ac:dyDescent="0.25">
      <c r="A743" t="s">
        <v>771</v>
      </c>
      <c r="B743" s="2">
        <v>45989</v>
      </c>
      <c r="C743" t="s">
        <v>50</v>
      </c>
      <c r="D743" t="s">
        <v>11</v>
      </c>
      <c r="E743" t="s">
        <v>12</v>
      </c>
      <c r="F743" t="s">
        <v>43</v>
      </c>
      <c r="G743">
        <v>6</v>
      </c>
      <c r="H743">
        <v>1500</v>
      </c>
      <c r="I743">
        <v>0</v>
      </c>
      <c r="J743" t="str">
        <f>_xlfn.XLOOKUP(tblOrders[[#This Row],[ProductID]],Products!$A$2:$A$9,Products!$B$2:$B$9,"Unknown")</f>
        <v>Webcam</v>
      </c>
      <c r="K743" t="str">
        <f>_xlfn.XLOOKUP(tblOrders[[#This Row],[ProductID]],Products!$A$2:$A$9,Products!$C$2:$C$9,"Unknown")</f>
        <v>Accessories</v>
      </c>
      <c r="L743">
        <f>_xlfn.XLOOKUP(tblOrders[[#This Row],[ProductID]],Products!$A$2:$A$9,Products!$D$2:$D$9,0)</f>
        <v>980</v>
      </c>
      <c r="M743">
        <f>tblOrders[[#This Row],[Quantity]]*tblOrders[[#This Row],[UnitPrice]]*(1-tblOrders[[#This Row],[Discount]])</f>
        <v>9000</v>
      </c>
      <c r="N743">
        <f>tblOrders[[#This Row],[Quantity]]*tblOrders[[#This Row],[UnitCost]]</f>
        <v>5880</v>
      </c>
      <c r="O743">
        <f>tblOrders[[#This Row],[Revenue]]-tblOrders[[#This Row],[Cost]]</f>
        <v>3120</v>
      </c>
      <c r="P743" t="str">
        <f>TEXT(tblOrders[[#This Row],[OrderDate]],"mmm")</f>
        <v>Nov</v>
      </c>
    </row>
    <row r="744" spans="1:16" x14ac:dyDescent="0.25">
      <c r="A744" t="s">
        <v>983</v>
      </c>
      <c r="B744" s="2">
        <v>45884</v>
      </c>
      <c r="C744" t="s">
        <v>107</v>
      </c>
      <c r="D744" t="s">
        <v>11</v>
      </c>
      <c r="E744" t="s">
        <v>46</v>
      </c>
      <c r="F744" t="s">
        <v>55</v>
      </c>
      <c r="G744">
        <v>8</v>
      </c>
      <c r="H744">
        <v>8000</v>
      </c>
      <c r="I744">
        <v>0</v>
      </c>
      <c r="J744" t="str">
        <f>_xlfn.XLOOKUP(tblOrders[[#This Row],[ProductID]],Products!$A$2:$A$9,Products!$B$2:$B$9,"Unknown")</f>
        <v>Printer</v>
      </c>
      <c r="K744" t="str">
        <f>_xlfn.XLOOKUP(tblOrders[[#This Row],[ProductID]],Products!$A$2:$A$9,Products!$C$2:$C$9,"Unknown")</f>
        <v>Electronics</v>
      </c>
      <c r="L744">
        <f>_xlfn.XLOOKUP(tblOrders[[#This Row],[ProductID]],Products!$A$2:$A$9,Products!$D$2:$D$9,0)</f>
        <v>6200</v>
      </c>
      <c r="M744">
        <f>tblOrders[[#This Row],[Quantity]]*tblOrders[[#This Row],[UnitPrice]]*(1-tblOrders[[#This Row],[Discount]])</f>
        <v>64000</v>
      </c>
      <c r="N744">
        <f>tblOrders[[#This Row],[Quantity]]*tblOrders[[#This Row],[UnitCost]]</f>
        <v>49600</v>
      </c>
      <c r="O744">
        <f>tblOrders[[#This Row],[Revenue]]-tblOrders[[#This Row],[Cost]]</f>
        <v>14400</v>
      </c>
      <c r="P744" t="str">
        <f>TEXT(tblOrders[[#This Row],[OrderDate]],"mmm")</f>
        <v>Aug</v>
      </c>
    </row>
    <row r="745" spans="1:16" x14ac:dyDescent="0.25">
      <c r="A745" t="s">
        <v>838</v>
      </c>
      <c r="B745" s="2">
        <v>45965</v>
      </c>
      <c r="C745" t="s">
        <v>45</v>
      </c>
      <c r="D745" t="s">
        <v>16</v>
      </c>
      <c r="E745" t="s">
        <v>17</v>
      </c>
      <c r="F745" t="s">
        <v>43</v>
      </c>
      <c r="G745">
        <v>10</v>
      </c>
      <c r="H745">
        <v>1500</v>
      </c>
      <c r="I745">
        <v>0.15</v>
      </c>
      <c r="J745" t="str">
        <f>_xlfn.XLOOKUP(tblOrders[[#This Row],[ProductID]],Products!$A$2:$A$9,Products!$B$2:$B$9,"Unknown")</f>
        <v>Webcam</v>
      </c>
      <c r="K745" t="str">
        <f>_xlfn.XLOOKUP(tblOrders[[#This Row],[ProductID]],Products!$A$2:$A$9,Products!$C$2:$C$9,"Unknown")</f>
        <v>Accessories</v>
      </c>
      <c r="L745">
        <f>_xlfn.XLOOKUP(tblOrders[[#This Row],[ProductID]],Products!$A$2:$A$9,Products!$D$2:$D$9,0)</f>
        <v>980</v>
      </c>
      <c r="M745">
        <f>tblOrders[[#This Row],[Quantity]]*tblOrders[[#This Row],[UnitPrice]]*(1-tblOrders[[#This Row],[Discount]])</f>
        <v>12750</v>
      </c>
      <c r="N745">
        <f>tblOrders[[#This Row],[Quantity]]*tblOrders[[#This Row],[UnitCost]]</f>
        <v>9800</v>
      </c>
      <c r="O745">
        <f>tblOrders[[#This Row],[Revenue]]-tblOrders[[#This Row],[Cost]]</f>
        <v>2950</v>
      </c>
      <c r="P745" t="str">
        <f>TEXT(tblOrders[[#This Row],[OrderDate]],"mmm")</f>
        <v>Nov</v>
      </c>
    </row>
    <row r="746" spans="1:16" x14ac:dyDescent="0.25">
      <c r="A746" t="s">
        <v>401</v>
      </c>
      <c r="B746" s="2">
        <v>45779</v>
      </c>
      <c r="C746" t="s">
        <v>238</v>
      </c>
      <c r="D746" t="s">
        <v>16</v>
      </c>
      <c r="E746" t="s">
        <v>33</v>
      </c>
      <c r="F746" t="s">
        <v>64</v>
      </c>
      <c r="G746">
        <v>5</v>
      </c>
      <c r="H746">
        <v>500</v>
      </c>
      <c r="I746">
        <v>0.05</v>
      </c>
      <c r="J746" t="str">
        <f>_xlfn.XLOOKUP(tblOrders[[#This Row],[ProductID]],Products!$A$2:$A$9,Products!$B$2:$B$9,"Unknown")</f>
        <v>Mouse</v>
      </c>
      <c r="K746" t="str">
        <f>_xlfn.XLOOKUP(tblOrders[[#This Row],[ProductID]],Products!$A$2:$A$9,Products!$C$2:$C$9,"Unknown")</f>
        <v>Accessories</v>
      </c>
      <c r="L746">
        <f>_xlfn.XLOOKUP(tblOrders[[#This Row],[ProductID]],Products!$A$2:$A$9,Products!$D$2:$D$9,0)</f>
        <v>320</v>
      </c>
      <c r="M746">
        <f>tblOrders[[#This Row],[Quantity]]*tblOrders[[#This Row],[UnitPrice]]*(1-tblOrders[[#This Row],[Discount]])</f>
        <v>2375</v>
      </c>
      <c r="N746">
        <f>tblOrders[[#This Row],[Quantity]]*tblOrders[[#This Row],[UnitCost]]</f>
        <v>1600</v>
      </c>
      <c r="O746">
        <f>tblOrders[[#This Row],[Revenue]]-tblOrders[[#This Row],[Cost]]</f>
        <v>775</v>
      </c>
      <c r="P746" t="str">
        <f>TEXT(tblOrders[[#This Row],[OrderDate]],"mmm")</f>
        <v>May</v>
      </c>
    </row>
    <row r="747" spans="1:16" x14ac:dyDescent="0.25">
      <c r="A747" t="s">
        <v>317</v>
      </c>
      <c r="B747" s="2">
        <v>45912</v>
      </c>
      <c r="C747" t="s">
        <v>15</v>
      </c>
      <c r="D747" t="s">
        <v>16</v>
      </c>
      <c r="E747" t="s">
        <v>33</v>
      </c>
      <c r="F747" t="s">
        <v>23</v>
      </c>
      <c r="G747">
        <v>7</v>
      </c>
      <c r="H747">
        <v>900</v>
      </c>
      <c r="I747">
        <v>0.05</v>
      </c>
      <c r="J747" t="str">
        <f>_xlfn.XLOOKUP(tblOrders[[#This Row],[ProductID]],Products!$A$2:$A$9,Products!$B$2:$B$9,"Unknown")</f>
        <v>Keyboard</v>
      </c>
      <c r="K747" t="str">
        <f>_xlfn.XLOOKUP(tblOrders[[#This Row],[ProductID]],Products!$A$2:$A$9,Products!$C$2:$C$9,"Unknown")</f>
        <v>Accessories</v>
      </c>
      <c r="L747">
        <f>_xlfn.XLOOKUP(tblOrders[[#This Row],[ProductID]],Products!$A$2:$A$9,Products!$D$2:$D$9,0)</f>
        <v>600</v>
      </c>
      <c r="M747">
        <f>tblOrders[[#This Row],[Quantity]]*tblOrders[[#This Row],[UnitPrice]]*(1-tblOrders[[#This Row],[Discount]])</f>
        <v>5985</v>
      </c>
      <c r="N747">
        <f>tblOrders[[#This Row],[Quantity]]*tblOrders[[#This Row],[UnitCost]]</f>
        <v>4200</v>
      </c>
      <c r="O747">
        <f>tblOrders[[#This Row],[Revenue]]-tblOrders[[#This Row],[Cost]]</f>
        <v>1785</v>
      </c>
      <c r="P747" t="str">
        <f>TEXT(tblOrders[[#This Row],[OrderDate]],"mmm")</f>
        <v>Sep</v>
      </c>
    </row>
    <row r="748" spans="1:16" x14ac:dyDescent="0.25">
      <c r="A748" t="s">
        <v>497</v>
      </c>
      <c r="B748" s="2">
        <v>45874</v>
      </c>
      <c r="C748" t="s">
        <v>103</v>
      </c>
      <c r="D748" t="s">
        <v>11</v>
      </c>
      <c r="E748" t="s">
        <v>12</v>
      </c>
      <c r="F748" t="s">
        <v>13</v>
      </c>
      <c r="G748">
        <v>9</v>
      </c>
      <c r="H748">
        <v>2000</v>
      </c>
      <c r="I748">
        <v>0</v>
      </c>
      <c r="J748" t="str">
        <f>_xlfn.XLOOKUP(tblOrders[[#This Row],[ProductID]],Products!$A$2:$A$9,Products!$B$2:$B$9,"Unknown")</f>
        <v>Headset</v>
      </c>
      <c r="K748" t="str">
        <f>_xlfn.XLOOKUP(tblOrders[[#This Row],[ProductID]],Products!$A$2:$A$9,Products!$C$2:$C$9,"Unknown")</f>
        <v>Accessories</v>
      </c>
      <c r="L748">
        <f>_xlfn.XLOOKUP(tblOrders[[#This Row],[ProductID]],Products!$A$2:$A$9,Products!$D$2:$D$9,0)</f>
        <v>1300</v>
      </c>
      <c r="M748">
        <f>tblOrders[[#This Row],[Quantity]]*tblOrders[[#This Row],[UnitPrice]]*(1-tblOrders[[#This Row],[Discount]])</f>
        <v>18000</v>
      </c>
      <c r="N748">
        <f>tblOrders[[#This Row],[Quantity]]*tblOrders[[#This Row],[UnitCost]]</f>
        <v>11700</v>
      </c>
      <c r="O748">
        <f>tblOrders[[#This Row],[Revenue]]-tblOrders[[#This Row],[Cost]]</f>
        <v>6300</v>
      </c>
      <c r="P748" t="str">
        <f>TEXT(tblOrders[[#This Row],[OrderDate]],"mmm")</f>
        <v>Aug</v>
      </c>
    </row>
    <row r="749" spans="1:16" x14ac:dyDescent="0.25">
      <c r="A749" t="s">
        <v>357</v>
      </c>
      <c r="B749" s="2">
        <v>45705</v>
      </c>
      <c r="C749" t="s">
        <v>136</v>
      </c>
      <c r="D749" t="s">
        <v>16</v>
      </c>
      <c r="E749" t="s">
        <v>33</v>
      </c>
      <c r="F749" t="s">
        <v>18</v>
      </c>
      <c r="G749">
        <v>1</v>
      </c>
      <c r="H749">
        <v>18000</v>
      </c>
      <c r="I749">
        <v>0.1</v>
      </c>
      <c r="J749" t="str">
        <f>_xlfn.XLOOKUP(tblOrders[[#This Row],[ProductID]],Products!$A$2:$A$9,Products!$B$2:$B$9,"Unknown")</f>
        <v>Tablet</v>
      </c>
      <c r="K749" t="str">
        <f>_xlfn.XLOOKUP(tblOrders[[#This Row],[ProductID]],Products!$A$2:$A$9,Products!$C$2:$C$9,"Unknown")</f>
        <v>Electronics</v>
      </c>
      <c r="L749">
        <f>_xlfn.XLOOKUP(tblOrders[[#This Row],[ProductID]],Products!$A$2:$A$9,Products!$D$2:$D$9,0)</f>
        <v>13500</v>
      </c>
      <c r="M749">
        <f>tblOrders[[#This Row],[Quantity]]*tblOrders[[#This Row],[UnitPrice]]*(1-tblOrders[[#This Row],[Discount]])</f>
        <v>16200</v>
      </c>
      <c r="N749">
        <f>tblOrders[[#This Row],[Quantity]]*tblOrders[[#This Row],[UnitCost]]</f>
        <v>13500</v>
      </c>
      <c r="O749">
        <f>tblOrders[[#This Row],[Revenue]]-tblOrders[[#This Row],[Cost]]</f>
        <v>2700</v>
      </c>
      <c r="P749" t="str">
        <f>TEXT(tblOrders[[#This Row],[OrderDate]],"mmm")</f>
        <v>Feb</v>
      </c>
    </row>
    <row r="750" spans="1:16" x14ac:dyDescent="0.25">
      <c r="A750" t="s">
        <v>965</v>
      </c>
      <c r="B750" s="2">
        <v>45673</v>
      </c>
      <c r="C750" t="s">
        <v>61</v>
      </c>
      <c r="D750" t="s">
        <v>11</v>
      </c>
      <c r="E750" t="s">
        <v>12</v>
      </c>
      <c r="F750" t="s">
        <v>43</v>
      </c>
      <c r="G750">
        <v>2</v>
      </c>
      <c r="H750">
        <v>1500</v>
      </c>
      <c r="I750">
        <v>0.05</v>
      </c>
      <c r="J750" t="str">
        <f>_xlfn.XLOOKUP(tblOrders[[#This Row],[ProductID]],Products!$A$2:$A$9,Products!$B$2:$B$9,"Unknown")</f>
        <v>Webcam</v>
      </c>
      <c r="K750" t="str">
        <f>_xlfn.XLOOKUP(tblOrders[[#This Row],[ProductID]],Products!$A$2:$A$9,Products!$C$2:$C$9,"Unknown")</f>
        <v>Accessories</v>
      </c>
      <c r="L750">
        <f>_xlfn.XLOOKUP(tblOrders[[#This Row],[ProductID]],Products!$A$2:$A$9,Products!$D$2:$D$9,0)</f>
        <v>980</v>
      </c>
      <c r="M750">
        <f>tblOrders[[#This Row],[Quantity]]*tblOrders[[#This Row],[UnitPrice]]*(1-tblOrders[[#This Row],[Discount]])</f>
        <v>2850</v>
      </c>
      <c r="N750">
        <f>tblOrders[[#This Row],[Quantity]]*tblOrders[[#This Row],[UnitCost]]</f>
        <v>1960</v>
      </c>
      <c r="O750">
        <f>tblOrders[[#This Row],[Revenue]]-tblOrders[[#This Row],[Cost]]</f>
        <v>890</v>
      </c>
      <c r="P750" t="str">
        <f>TEXT(tblOrders[[#This Row],[OrderDate]],"mmm")</f>
        <v>Jan</v>
      </c>
    </row>
    <row r="751" spans="1:16" x14ac:dyDescent="0.25">
      <c r="A751" t="s">
        <v>286</v>
      </c>
      <c r="B751" s="2">
        <v>45825</v>
      </c>
      <c r="C751" t="s">
        <v>45</v>
      </c>
      <c r="D751" t="s">
        <v>21</v>
      </c>
      <c r="E751" t="s">
        <v>28</v>
      </c>
      <c r="F751" t="s">
        <v>34</v>
      </c>
      <c r="G751">
        <v>7</v>
      </c>
      <c r="H751">
        <v>55000</v>
      </c>
      <c r="I751">
        <v>0</v>
      </c>
      <c r="J751" t="str">
        <f>_xlfn.XLOOKUP(tblOrders[[#This Row],[ProductID]],Products!$A$2:$A$9,Products!$B$2:$B$9,"Unknown")</f>
        <v>Laptop</v>
      </c>
      <c r="K751" t="str">
        <f>_xlfn.XLOOKUP(tblOrders[[#This Row],[ProductID]],Products!$A$2:$A$9,Products!$C$2:$C$9,"Unknown")</f>
        <v>Electronics</v>
      </c>
      <c r="L751">
        <f>_xlfn.XLOOKUP(tblOrders[[#This Row],[ProductID]],Products!$A$2:$A$9,Products!$D$2:$D$9,0)</f>
        <v>41000</v>
      </c>
      <c r="M751">
        <f>tblOrders[[#This Row],[Quantity]]*tblOrders[[#This Row],[UnitPrice]]*(1-tblOrders[[#This Row],[Discount]])</f>
        <v>385000</v>
      </c>
      <c r="N751">
        <f>tblOrders[[#This Row],[Quantity]]*tblOrders[[#This Row],[UnitCost]]</f>
        <v>287000</v>
      </c>
      <c r="O751">
        <f>tblOrders[[#This Row],[Revenue]]-tblOrders[[#This Row],[Cost]]</f>
        <v>98000</v>
      </c>
      <c r="P751" t="str">
        <f>TEXT(tblOrders[[#This Row],[OrderDate]],"mmm")</f>
        <v>Jun</v>
      </c>
    </row>
    <row r="752" spans="1:16" x14ac:dyDescent="0.25">
      <c r="A752" t="s">
        <v>322</v>
      </c>
      <c r="B752" s="2">
        <v>45973</v>
      </c>
      <c r="C752" t="s">
        <v>85</v>
      </c>
      <c r="D752" t="s">
        <v>11</v>
      </c>
      <c r="E752" t="s">
        <v>12</v>
      </c>
      <c r="F752" t="s">
        <v>18</v>
      </c>
      <c r="G752">
        <v>15</v>
      </c>
      <c r="H752">
        <v>18000</v>
      </c>
      <c r="I752">
        <v>0</v>
      </c>
      <c r="J752" t="str">
        <f>_xlfn.XLOOKUP(tblOrders[[#This Row],[ProductID]],Products!$A$2:$A$9,Products!$B$2:$B$9,"Unknown")</f>
        <v>Tablet</v>
      </c>
      <c r="K752" t="str">
        <f>_xlfn.XLOOKUP(tblOrders[[#This Row],[ProductID]],Products!$A$2:$A$9,Products!$C$2:$C$9,"Unknown")</f>
        <v>Electronics</v>
      </c>
      <c r="L752">
        <f>_xlfn.XLOOKUP(tblOrders[[#This Row],[ProductID]],Products!$A$2:$A$9,Products!$D$2:$D$9,0)</f>
        <v>13500</v>
      </c>
      <c r="M752">
        <f>tblOrders[[#This Row],[Quantity]]*tblOrders[[#This Row],[UnitPrice]]*(1-tblOrders[[#This Row],[Discount]])</f>
        <v>270000</v>
      </c>
      <c r="N752">
        <f>tblOrders[[#This Row],[Quantity]]*tblOrders[[#This Row],[UnitCost]]</f>
        <v>202500</v>
      </c>
      <c r="O752">
        <f>tblOrders[[#This Row],[Revenue]]-tblOrders[[#This Row],[Cost]]</f>
        <v>67500</v>
      </c>
      <c r="P752" t="str">
        <f>TEXT(tblOrders[[#This Row],[OrderDate]],"mmm")</f>
        <v>Nov</v>
      </c>
    </row>
    <row r="753" spans="1:16" x14ac:dyDescent="0.25">
      <c r="A753" t="s">
        <v>350</v>
      </c>
      <c r="B753" s="2">
        <v>45901</v>
      </c>
      <c r="C753" t="s">
        <v>261</v>
      </c>
      <c r="D753" t="s">
        <v>16</v>
      </c>
      <c r="E753" t="s">
        <v>33</v>
      </c>
      <c r="F753" t="s">
        <v>64</v>
      </c>
      <c r="G753">
        <v>8</v>
      </c>
      <c r="H753">
        <v>500</v>
      </c>
      <c r="I753">
        <v>0.15</v>
      </c>
      <c r="J753" t="str">
        <f>_xlfn.XLOOKUP(tblOrders[[#This Row],[ProductID]],Products!$A$2:$A$9,Products!$B$2:$B$9,"Unknown")</f>
        <v>Mouse</v>
      </c>
      <c r="K753" t="str">
        <f>_xlfn.XLOOKUP(tblOrders[[#This Row],[ProductID]],Products!$A$2:$A$9,Products!$C$2:$C$9,"Unknown")</f>
        <v>Accessories</v>
      </c>
      <c r="L753">
        <f>_xlfn.XLOOKUP(tblOrders[[#This Row],[ProductID]],Products!$A$2:$A$9,Products!$D$2:$D$9,0)</f>
        <v>320</v>
      </c>
      <c r="M753">
        <f>tblOrders[[#This Row],[Quantity]]*tblOrders[[#This Row],[UnitPrice]]*(1-tblOrders[[#This Row],[Discount]])</f>
        <v>3400</v>
      </c>
      <c r="N753">
        <f>tblOrders[[#This Row],[Quantity]]*tblOrders[[#This Row],[UnitCost]]</f>
        <v>2560</v>
      </c>
      <c r="O753">
        <f>tblOrders[[#This Row],[Revenue]]-tblOrders[[#This Row],[Cost]]</f>
        <v>840</v>
      </c>
      <c r="P753" t="str">
        <f>TEXT(tblOrders[[#This Row],[OrderDate]],"mmm")</f>
        <v>Sep</v>
      </c>
    </row>
    <row r="754" spans="1:16" x14ac:dyDescent="0.25">
      <c r="A754" t="s">
        <v>118</v>
      </c>
      <c r="B754" s="2">
        <v>45876</v>
      </c>
      <c r="C754" t="s">
        <v>50</v>
      </c>
      <c r="D754" t="s">
        <v>39</v>
      </c>
      <c r="E754" t="s">
        <v>76</v>
      </c>
      <c r="F754" t="s">
        <v>55</v>
      </c>
      <c r="G754">
        <v>4</v>
      </c>
      <c r="H754">
        <v>8000</v>
      </c>
      <c r="I754">
        <v>0</v>
      </c>
      <c r="J754" t="str">
        <f>_xlfn.XLOOKUP(tblOrders[[#This Row],[ProductID]],Products!$A$2:$A$9,Products!$B$2:$B$9,"Unknown")</f>
        <v>Printer</v>
      </c>
      <c r="K754" t="str">
        <f>_xlfn.XLOOKUP(tblOrders[[#This Row],[ProductID]],Products!$A$2:$A$9,Products!$C$2:$C$9,"Unknown")</f>
        <v>Electronics</v>
      </c>
      <c r="L754">
        <f>_xlfn.XLOOKUP(tblOrders[[#This Row],[ProductID]],Products!$A$2:$A$9,Products!$D$2:$D$9,0)</f>
        <v>6200</v>
      </c>
      <c r="M754">
        <f>tblOrders[[#This Row],[Quantity]]*tblOrders[[#This Row],[UnitPrice]]*(1-tblOrders[[#This Row],[Discount]])</f>
        <v>32000</v>
      </c>
      <c r="N754">
        <f>tblOrders[[#This Row],[Quantity]]*tblOrders[[#This Row],[UnitCost]]</f>
        <v>24800</v>
      </c>
      <c r="O754">
        <f>tblOrders[[#This Row],[Revenue]]-tblOrders[[#This Row],[Cost]]</f>
        <v>7200</v>
      </c>
      <c r="P754" t="str">
        <f>TEXT(tblOrders[[#This Row],[OrderDate]],"mmm")</f>
        <v>Aug</v>
      </c>
    </row>
    <row r="755" spans="1:16" x14ac:dyDescent="0.25">
      <c r="A755" t="s">
        <v>630</v>
      </c>
      <c r="B755" s="2">
        <v>45797</v>
      </c>
      <c r="C755" t="s">
        <v>66</v>
      </c>
      <c r="D755" t="s">
        <v>11</v>
      </c>
      <c r="E755" t="s">
        <v>12</v>
      </c>
      <c r="F755" t="s">
        <v>34</v>
      </c>
      <c r="G755">
        <v>2</v>
      </c>
      <c r="H755">
        <v>55000</v>
      </c>
      <c r="I755">
        <v>0.1</v>
      </c>
      <c r="J755" t="str">
        <f>_xlfn.XLOOKUP(tblOrders[[#This Row],[ProductID]],Products!$A$2:$A$9,Products!$B$2:$B$9,"Unknown")</f>
        <v>Laptop</v>
      </c>
      <c r="K755" t="str">
        <f>_xlfn.XLOOKUP(tblOrders[[#This Row],[ProductID]],Products!$A$2:$A$9,Products!$C$2:$C$9,"Unknown")</f>
        <v>Electronics</v>
      </c>
      <c r="L755">
        <f>_xlfn.XLOOKUP(tblOrders[[#This Row],[ProductID]],Products!$A$2:$A$9,Products!$D$2:$D$9,0)</f>
        <v>41000</v>
      </c>
      <c r="M755">
        <f>tblOrders[[#This Row],[Quantity]]*tblOrders[[#This Row],[UnitPrice]]*(1-tblOrders[[#This Row],[Discount]])</f>
        <v>99000</v>
      </c>
      <c r="N755">
        <f>tblOrders[[#This Row],[Quantity]]*tblOrders[[#This Row],[UnitCost]]</f>
        <v>82000</v>
      </c>
      <c r="O755">
        <f>tblOrders[[#This Row],[Revenue]]-tblOrders[[#This Row],[Cost]]</f>
        <v>17000</v>
      </c>
      <c r="P755" t="str">
        <f>TEXT(tblOrders[[#This Row],[OrderDate]],"mmm")</f>
        <v>May</v>
      </c>
    </row>
    <row r="756" spans="1:16" x14ac:dyDescent="0.25">
      <c r="A756" t="s">
        <v>754</v>
      </c>
      <c r="B756" s="2">
        <v>45753</v>
      </c>
      <c r="C756" t="s">
        <v>333</v>
      </c>
      <c r="D756" t="s">
        <v>16</v>
      </c>
      <c r="E756" t="s">
        <v>17</v>
      </c>
      <c r="F756" t="s">
        <v>13</v>
      </c>
      <c r="G756">
        <v>12</v>
      </c>
      <c r="H756">
        <v>2000</v>
      </c>
      <c r="I756">
        <v>0</v>
      </c>
      <c r="J756" t="str">
        <f>_xlfn.XLOOKUP(tblOrders[[#This Row],[ProductID]],Products!$A$2:$A$9,Products!$B$2:$B$9,"Unknown")</f>
        <v>Headset</v>
      </c>
      <c r="K756" t="str">
        <f>_xlfn.XLOOKUP(tblOrders[[#This Row],[ProductID]],Products!$A$2:$A$9,Products!$C$2:$C$9,"Unknown")</f>
        <v>Accessories</v>
      </c>
      <c r="L756">
        <f>_xlfn.XLOOKUP(tblOrders[[#This Row],[ProductID]],Products!$A$2:$A$9,Products!$D$2:$D$9,0)</f>
        <v>1300</v>
      </c>
      <c r="M756">
        <f>tblOrders[[#This Row],[Quantity]]*tblOrders[[#This Row],[UnitPrice]]*(1-tblOrders[[#This Row],[Discount]])</f>
        <v>24000</v>
      </c>
      <c r="N756">
        <f>tblOrders[[#This Row],[Quantity]]*tblOrders[[#This Row],[UnitCost]]</f>
        <v>15600</v>
      </c>
      <c r="O756">
        <f>tblOrders[[#This Row],[Revenue]]-tblOrders[[#This Row],[Cost]]</f>
        <v>8400</v>
      </c>
      <c r="P756" t="str">
        <f>TEXT(tblOrders[[#This Row],[OrderDate]],"mmm")</f>
        <v>Apr</v>
      </c>
    </row>
    <row r="757" spans="1:16" x14ac:dyDescent="0.25">
      <c r="A757" t="s">
        <v>890</v>
      </c>
      <c r="B757" s="2">
        <v>46010</v>
      </c>
      <c r="C757" t="s">
        <v>45</v>
      </c>
      <c r="D757" t="s">
        <v>16</v>
      </c>
      <c r="E757" t="s">
        <v>33</v>
      </c>
      <c r="F757" t="s">
        <v>34</v>
      </c>
      <c r="G757">
        <v>6</v>
      </c>
      <c r="H757">
        <v>55000</v>
      </c>
      <c r="I757">
        <v>0</v>
      </c>
      <c r="J757" t="str">
        <f>_xlfn.XLOOKUP(tblOrders[[#This Row],[ProductID]],Products!$A$2:$A$9,Products!$B$2:$B$9,"Unknown")</f>
        <v>Laptop</v>
      </c>
      <c r="K757" t="str">
        <f>_xlfn.XLOOKUP(tblOrders[[#This Row],[ProductID]],Products!$A$2:$A$9,Products!$C$2:$C$9,"Unknown")</f>
        <v>Electronics</v>
      </c>
      <c r="L757">
        <f>_xlfn.XLOOKUP(tblOrders[[#This Row],[ProductID]],Products!$A$2:$A$9,Products!$D$2:$D$9,0)</f>
        <v>41000</v>
      </c>
      <c r="M757">
        <f>tblOrders[[#This Row],[Quantity]]*tblOrders[[#This Row],[UnitPrice]]*(1-tblOrders[[#This Row],[Discount]])</f>
        <v>330000</v>
      </c>
      <c r="N757">
        <f>tblOrders[[#This Row],[Quantity]]*tblOrders[[#This Row],[UnitCost]]</f>
        <v>246000</v>
      </c>
      <c r="O757">
        <f>tblOrders[[#This Row],[Revenue]]-tblOrders[[#This Row],[Cost]]</f>
        <v>84000</v>
      </c>
      <c r="P757" t="str">
        <f>TEXT(tblOrders[[#This Row],[OrderDate]],"mmm")</f>
        <v>Dec</v>
      </c>
    </row>
    <row r="758" spans="1:16" x14ac:dyDescent="0.25">
      <c r="A758" t="s">
        <v>360</v>
      </c>
      <c r="B758" s="2">
        <v>45758</v>
      </c>
      <c r="C758" t="s">
        <v>52</v>
      </c>
      <c r="D758" t="s">
        <v>11</v>
      </c>
      <c r="E758" t="s">
        <v>12</v>
      </c>
      <c r="F758" t="s">
        <v>23</v>
      </c>
      <c r="G758">
        <v>2</v>
      </c>
      <c r="H758">
        <v>900</v>
      </c>
      <c r="I758">
        <v>0.15</v>
      </c>
      <c r="J758" t="str">
        <f>_xlfn.XLOOKUP(tblOrders[[#This Row],[ProductID]],Products!$A$2:$A$9,Products!$B$2:$B$9,"Unknown")</f>
        <v>Keyboard</v>
      </c>
      <c r="K758" t="str">
        <f>_xlfn.XLOOKUP(tblOrders[[#This Row],[ProductID]],Products!$A$2:$A$9,Products!$C$2:$C$9,"Unknown")</f>
        <v>Accessories</v>
      </c>
      <c r="L758">
        <f>_xlfn.XLOOKUP(tblOrders[[#This Row],[ProductID]],Products!$A$2:$A$9,Products!$D$2:$D$9,0)</f>
        <v>600</v>
      </c>
      <c r="M758">
        <f>tblOrders[[#This Row],[Quantity]]*tblOrders[[#This Row],[UnitPrice]]*(1-tblOrders[[#This Row],[Discount]])</f>
        <v>1530</v>
      </c>
      <c r="N758">
        <f>tblOrders[[#This Row],[Quantity]]*tblOrders[[#This Row],[UnitCost]]</f>
        <v>1200</v>
      </c>
      <c r="O758">
        <f>tblOrders[[#This Row],[Revenue]]-tblOrders[[#This Row],[Cost]]</f>
        <v>330</v>
      </c>
      <c r="P758" t="str">
        <f>TEXT(tblOrders[[#This Row],[OrderDate]],"mmm")</f>
        <v>Apr</v>
      </c>
    </row>
    <row r="759" spans="1:16" x14ac:dyDescent="0.25">
      <c r="A759" t="s">
        <v>488</v>
      </c>
      <c r="B759" s="2">
        <v>45675</v>
      </c>
      <c r="C759" t="s">
        <v>61</v>
      </c>
      <c r="D759" t="s">
        <v>21</v>
      </c>
      <c r="E759" t="s">
        <v>22</v>
      </c>
      <c r="F759" t="s">
        <v>18</v>
      </c>
      <c r="G759">
        <v>1</v>
      </c>
      <c r="H759">
        <v>18000</v>
      </c>
      <c r="I759">
        <v>0.1</v>
      </c>
      <c r="J759" t="str">
        <f>_xlfn.XLOOKUP(tblOrders[[#This Row],[ProductID]],Products!$A$2:$A$9,Products!$B$2:$B$9,"Unknown")</f>
        <v>Tablet</v>
      </c>
      <c r="K759" t="str">
        <f>_xlfn.XLOOKUP(tblOrders[[#This Row],[ProductID]],Products!$A$2:$A$9,Products!$C$2:$C$9,"Unknown")</f>
        <v>Electronics</v>
      </c>
      <c r="L759">
        <f>_xlfn.XLOOKUP(tblOrders[[#This Row],[ProductID]],Products!$A$2:$A$9,Products!$D$2:$D$9,0)</f>
        <v>13500</v>
      </c>
      <c r="M759">
        <f>tblOrders[[#This Row],[Quantity]]*tblOrders[[#This Row],[UnitPrice]]*(1-tblOrders[[#This Row],[Discount]])</f>
        <v>16200</v>
      </c>
      <c r="N759">
        <f>tblOrders[[#This Row],[Quantity]]*tblOrders[[#This Row],[UnitCost]]</f>
        <v>13500</v>
      </c>
      <c r="O759">
        <f>tblOrders[[#This Row],[Revenue]]-tblOrders[[#This Row],[Cost]]</f>
        <v>2700</v>
      </c>
      <c r="P759" t="str">
        <f>TEXT(tblOrders[[#This Row],[OrderDate]],"mmm")</f>
        <v>Jan</v>
      </c>
    </row>
    <row r="760" spans="1:16" x14ac:dyDescent="0.25">
      <c r="A760" t="s">
        <v>177</v>
      </c>
      <c r="B760" s="2">
        <v>45792</v>
      </c>
      <c r="C760" t="s">
        <v>85</v>
      </c>
      <c r="D760" t="s">
        <v>39</v>
      </c>
      <c r="E760" t="s">
        <v>40</v>
      </c>
      <c r="F760" t="s">
        <v>64</v>
      </c>
      <c r="G760">
        <v>3</v>
      </c>
      <c r="H760">
        <v>500</v>
      </c>
      <c r="I760">
        <v>0.05</v>
      </c>
      <c r="J760" t="str">
        <f>_xlfn.XLOOKUP(tblOrders[[#This Row],[ProductID]],Products!$A$2:$A$9,Products!$B$2:$B$9,"Unknown")</f>
        <v>Mouse</v>
      </c>
      <c r="K760" t="str">
        <f>_xlfn.XLOOKUP(tblOrders[[#This Row],[ProductID]],Products!$A$2:$A$9,Products!$C$2:$C$9,"Unknown")</f>
        <v>Accessories</v>
      </c>
      <c r="L760">
        <f>_xlfn.XLOOKUP(tblOrders[[#This Row],[ProductID]],Products!$A$2:$A$9,Products!$D$2:$D$9,0)</f>
        <v>320</v>
      </c>
      <c r="M760">
        <f>tblOrders[[#This Row],[Quantity]]*tblOrders[[#This Row],[UnitPrice]]*(1-tblOrders[[#This Row],[Discount]])</f>
        <v>1425</v>
      </c>
      <c r="N760">
        <f>tblOrders[[#This Row],[Quantity]]*tblOrders[[#This Row],[UnitCost]]</f>
        <v>960</v>
      </c>
      <c r="O760">
        <f>tblOrders[[#This Row],[Revenue]]-tblOrders[[#This Row],[Cost]]</f>
        <v>465</v>
      </c>
      <c r="P760" t="str">
        <f>TEXT(tblOrders[[#This Row],[OrderDate]],"mmm")</f>
        <v>May</v>
      </c>
    </row>
    <row r="761" spans="1:16" x14ac:dyDescent="0.25">
      <c r="A761" t="s">
        <v>65</v>
      </c>
      <c r="B761" s="2">
        <v>45885</v>
      </c>
      <c r="C761" t="s">
        <v>66</v>
      </c>
      <c r="D761" t="s">
        <v>11</v>
      </c>
      <c r="E761" t="s">
        <v>12</v>
      </c>
      <c r="F761" t="s">
        <v>13</v>
      </c>
      <c r="G761">
        <v>13</v>
      </c>
      <c r="H761">
        <v>2000</v>
      </c>
      <c r="I761">
        <v>0.1</v>
      </c>
      <c r="J761" t="str">
        <f>_xlfn.XLOOKUP(tblOrders[[#This Row],[ProductID]],Products!$A$2:$A$9,Products!$B$2:$B$9,"Unknown")</f>
        <v>Headset</v>
      </c>
      <c r="K761" t="str">
        <f>_xlfn.XLOOKUP(tblOrders[[#This Row],[ProductID]],Products!$A$2:$A$9,Products!$C$2:$C$9,"Unknown")</f>
        <v>Accessories</v>
      </c>
      <c r="L761">
        <f>_xlfn.XLOOKUP(tblOrders[[#This Row],[ProductID]],Products!$A$2:$A$9,Products!$D$2:$D$9,0)</f>
        <v>1300</v>
      </c>
      <c r="M761">
        <f>tblOrders[[#This Row],[Quantity]]*tblOrders[[#This Row],[UnitPrice]]*(1-tblOrders[[#This Row],[Discount]])</f>
        <v>23400</v>
      </c>
      <c r="N761">
        <f>tblOrders[[#This Row],[Quantity]]*tblOrders[[#This Row],[UnitCost]]</f>
        <v>16900</v>
      </c>
      <c r="O761">
        <f>tblOrders[[#This Row],[Revenue]]-tblOrders[[#This Row],[Cost]]</f>
        <v>6500</v>
      </c>
      <c r="P761" t="str">
        <f>TEXT(tblOrders[[#This Row],[OrderDate]],"mmm")</f>
        <v>Aug</v>
      </c>
    </row>
    <row r="762" spans="1:16" x14ac:dyDescent="0.25">
      <c r="A762" t="s">
        <v>302</v>
      </c>
      <c r="B762" s="2">
        <v>45711</v>
      </c>
      <c r="C762" t="s">
        <v>144</v>
      </c>
      <c r="D762" t="s">
        <v>11</v>
      </c>
      <c r="E762" t="s">
        <v>46</v>
      </c>
      <c r="F762" t="s">
        <v>18</v>
      </c>
      <c r="G762">
        <v>9</v>
      </c>
      <c r="H762">
        <v>18000</v>
      </c>
      <c r="I762">
        <v>0</v>
      </c>
      <c r="J762" t="str">
        <f>_xlfn.XLOOKUP(tblOrders[[#This Row],[ProductID]],Products!$A$2:$A$9,Products!$B$2:$B$9,"Unknown")</f>
        <v>Tablet</v>
      </c>
      <c r="K762" t="str">
        <f>_xlfn.XLOOKUP(tblOrders[[#This Row],[ProductID]],Products!$A$2:$A$9,Products!$C$2:$C$9,"Unknown")</f>
        <v>Electronics</v>
      </c>
      <c r="L762">
        <f>_xlfn.XLOOKUP(tblOrders[[#This Row],[ProductID]],Products!$A$2:$A$9,Products!$D$2:$D$9,0)</f>
        <v>13500</v>
      </c>
      <c r="M762">
        <f>tblOrders[[#This Row],[Quantity]]*tblOrders[[#This Row],[UnitPrice]]*(1-tblOrders[[#This Row],[Discount]])</f>
        <v>162000</v>
      </c>
      <c r="N762">
        <f>tblOrders[[#This Row],[Quantity]]*tblOrders[[#This Row],[UnitCost]]</f>
        <v>121500</v>
      </c>
      <c r="O762">
        <f>tblOrders[[#This Row],[Revenue]]-tblOrders[[#This Row],[Cost]]</f>
        <v>40500</v>
      </c>
      <c r="P762" t="str">
        <f>TEXT(tblOrders[[#This Row],[OrderDate]],"mmm")</f>
        <v>Feb</v>
      </c>
    </row>
    <row r="763" spans="1:16" x14ac:dyDescent="0.25">
      <c r="A763" t="s">
        <v>594</v>
      </c>
      <c r="B763" s="2">
        <v>45803</v>
      </c>
      <c r="C763" t="s">
        <v>85</v>
      </c>
      <c r="D763" t="s">
        <v>21</v>
      </c>
      <c r="E763" t="s">
        <v>28</v>
      </c>
      <c r="F763" t="s">
        <v>64</v>
      </c>
      <c r="G763">
        <v>7</v>
      </c>
      <c r="H763">
        <v>500</v>
      </c>
      <c r="I763">
        <v>0.15</v>
      </c>
      <c r="J763" t="str">
        <f>_xlfn.XLOOKUP(tblOrders[[#This Row],[ProductID]],Products!$A$2:$A$9,Products!$B$2:$B$9,"Unknown")</f>
        <v>Mouse</v>
      </c>
      <c r="K763" t="str">
        <f>_xlfn.XLOOKUP(tblOrders[[#This Row],[ProductID]],Products!$A$2:$A$9,Products!$C$2:$C$9,"Unknown")</f>
        <v>Accessories</v>
      </c>
      <c r="L763">
        <f>_xlfn.XLOOKUP(tblOrders[[#This Row],[ProductID]],Products!$A$2:$A$9,Products!$D$2:$D$9,0)</f>
        <v>320</v>
      </c>
      <c r="M763">
        <f>tblOrders[[#This Row],[Quantity]]*tblOrders[[#This Row],[UnitPrice]]*(1-tblOrders[[#This Row],[Discount]])</f>
        <v>2975</v>
      </c>
      <c r="N763">
        <f>tblOrders[[#This Row],[Quantity]]*tblOrders[[#This Row],[UnitCost]]</f>
        <v>2240</v>
      </c>
      <c r="O763">
        <f>tblOrders[[#This Row],[Revenue]]-tblOrders[[#This Row],[Cost]]</f>
        <v>735</v>
      </c>
      <c r="P763" t="str">
        <f>TEXT(tblOrders[[#This Row],[OrderDate]],"mmm")</f>
        <v>May</v>
      </c>
    </row>
    <row r="764" spans="1:16" x14ac:dyDescent="0.25">
      <c r="A764" t="s">
        <v>867</v>
      </c>
      <c r="B764" s="2">
        <v>45790</v>
      </c>
      <c r="C764" t="s">
        <v>261</v>
      </c>
      <c r="D764" t="s">
        <v>21</v>
      </c>
      <c r="E764" t="s">
        <v>28</v>
      </c>
      <c r="F764" t="s">
        <v>43</v>
      </c>
      <c r="G764">
        <v>7</v>
      </c>
      <c r="H764">
        <v>1500</v>
      </c>
      <c r="I764">
        <v>0</v>
      </c>
      <c r="J764" t="str">
        <f>_xlfn.XLOOKUP(tblOrders[[#This Row],[ProductID]],Products!$A$2:$A$9,Products!$B$2:$B$9,"Unknown")</f>
        <v>Webcam</v>
      </c>
      <c r="K764" t="str">
        <f>_xlfn.XLOOKUP(tblOrders[[#This Row],[ProductID]],Products!$A$2:$A$9,Products!$C$2:$C$9,"Unknown")</f>
        <v>Accessories</v>
      </c>
      <c r="L764">
        <f>_xlfn.XLOOKUP(tblOrders[[#This Row],[ProductID]],Products!$A$2:$A$9,Products!$D$2:$D$9,0)</f>
        <v>980</v>
      </c>
      <c r="M764">
        <f>tblOrders[[#This Row],[Quantity]]*tblOrders[[#This Row],[UnitPrice]]*(1-tblOrders[[#This Row],[Discount]])</f>
        <v>10500</v>
      </c>
      <c r="N764">
        <f>tblOrders[[#This Row],[Quantity]]*tblOrders[[#This Row],[UnitCost]]</f>
        <v>6860</v>
      </c>
      <c r="O764">
        <f>tblOrders[[#This Row],[Revenue]]-tblOrders[[#This Row],[Cost]]</f>
        <v>3640</v>
      </c>
      <c r="P764" t="str">
        <f>TEXT(tblOrders[[#This Row],[OrderDate]],"mmm")</f>
        <v>May</v>
      </c>
    </row>
    <row r="765" spans="1:16" x14ac:dyDescent="0.25">
      <c r="A765" t="s">
        <v>372</v>
      </c>
      <c r="B765" s="2">
        <v>45995</v>
      </c>
      <c r="C765" t="s">
        <v>195</v>
      </c>
      <c r="D765" t="s">
        <v>16</v>
      </c>
      <c r="E765" t="s">
        <v>33</v>
      </c>
      <c r="F765" t="s">
        <v>13</v>
      </c>
      <c r="G765">
        <v>6</v>
      </c>
      <c r="H765">
        <v>2000</v>
      </c>
      <c r="I765">
        <v>0</v>
      </c>
      <c r="J765" t="str">
        <f>_xlfn.XLOOKUP(tblOrders[[#This Row],[ProductID]],Products!$A$2:$A$9,Products!$B$2:$B$9,"Unknown")</f>
        <v>Headset</v>
      </c>
      <c r="K765" t="str">
        <f>_xlfn.XLOOKUP(tblOrders[[#This Row],[ProductID]],Products!$A$2:$A$9,Products!$C$2:$C$9,"Unknown")</f>
        <v>Accessories</v>
      </c>
      <c r="L765">
        <f>_xlfn.XLOOKUP(tblOrders[[#This Row],[ProductID]],Products!$A$2:$A$9,Products!$D$2:$D$9,0)</f>
        <v>1300</v>
      </c>
      <c r="M765">
        <f>tblOrders[[#This Row],[Quantity]]*tblOrders[[#This Row],[UnitPrice]]*(1-tblOrders[[#This Row],[Discount]])</f>
        <v>12000</v>
      </c>
      <c r="N765">
        <f>tblOrders[[#This Row],[Quantity]]*tblOrders[[#This Row],[UnitCost]]</f>
        <v>7800</v>
      </c>
      <c r="O765">
        <f>tblOrders[[#This Row],[Revenue]]-tblOrders[[#This Row],[Cost]]</f>
        <v>4200</v>
      </c>
      <c r="P765" t="str">
        <f>TEXT(tblOrders[[#This Row],[OrderDate]],"mmm")</f>
        <v>Dec</v>
      </c>
    </row>
    <row r="766" spans="1:16" x14ac:dyDescent="0.25">
      <c r="A766" t="s">
        <v>231</v>
      </c>
      <c r="B766" s="2">
        <v>45858</v>
      </c>
      <c r="C766" t="s">
        <v>171</v>
      </c>
      <c r="D766" t="s">
        <v>11</v>
      </c>
      <c r="E766" t="s">
        <v>12</v>
      </c>
      <c r="F766" t="s">
        <v>64</v>
      </c>
      <c r="G766">
        <v>1</v>
      </c>
      <c r="H766">
        <v>500</v>
      </c>
      <c r="I766">
        <v>0.05</v>
      </c>
      <c r="J766" t="str">
        <f>_xlfn.XLOOKUP(tblOrders[[#This Row],[ProductID]],Products!$A$2:$A$9,Products!$B$2:$B$9,"Unknown")</f>
        <v>Mouse</v>
      </c>
      <c r="K766" t="str">
        <f>_xlfn.XLOOKUP(tblOrders[[#This Row],[ProductID]],Products!$A$2:$A$9,Products!$C$2:$C$9,"Unknown")</f>
        <v>Accessories</v>
      </c>
      <c r="L766">
        <f>_xlfn.XLOOKUP(tblOrders[[#This Row],[ProductID]],Products!$A$2:$A$9,Products!$D$2:$D$9,0)</f>
        <v>320</v>
      </c>
      <c r="M766">
        <f>tblOrders[[#This Row],[Quantity]]*tblOrders[[#This Row],[UnitPrice]]*(1-tblOrders[[#This Row],[Discount]])</f>
        <v>475</v>
      </c>
      <c r="N766">
        <f>tblOrders[[#This Row],[Quantity]]*tblOrders[[#This Row],[UnitCost]]</f>
        <v>320</v>
      </c>
      <c r="O766">
        <f>tblOrders[[#This Row],[Revenue]]-tblOrders[[#This Row],[Cost]]</f>
        <v>155</v>
      </c>
      <c r="P766" t="str">
        <f>TEXT(tblOrders[[#This Row],[OrderDate]],"mmm")</f>
        <v>Jul</v>
      </c>
    </row>
    <row r="767" spans="1:16" x14ac:dyDescent="0.25">
      <c r="A767" t="s">
        <v>326</v>
      </c>
      <c r="B767" s="2">
        <v>45892</v>
      </c>
      <c r="C767" t="s">
        <v>27</v>
      </c>
      <c r="D767" t="s">
        <v>16</v>
      </c>
      <c r="E767" t="s">
        <v>33</v>
      </c>
      <c r="F767" t="s">
        <v>13</v>
      </c>
      <c r="G767">
        <v>1</v>
      </c>
      <c r="H767">
        <v>2000</v>
      </c>
      <c r="I767">
        <v>0</v>
      </c>
      <c r="J767" t="str">
        <f>_xlfn.XLOOKUP(tblOrders[[#This Row],[ProductID]],Products!$A$2:$A$9,Products!$B$2:$B$9,"Unknown")</f>
        <v>Headset</v>
      </c>
      <c r="K767" t="str">
        <f>_xlfn.XLOOKUP(tblOrders[[#This Row],[ProductID]],Products!$A$2:$A$9,Products!$C$2:$C$9,"Unknown")</f>
        <v>Accessories</v>
      </c>
      <c r="L767">
        <f>_xlfn.XLOOKUP(tblOrders[[#This Row],[ProductID]],Products!$A$2:$A$9,Products!$D$2:$D$9,0)</f>
        <v>1300</v>
      </c>
      <c r="M767">
        <f>tblOrders[[#This Row],[Quantity]]*tblOrders[[#This Row],[UnitPrice]]*(1-tblOrders[[#This Row],[Discount]])</f>
        <v>2000</v>
      </c>
      <c r="N767">
        <f>tblOrders[[#This Row],[Quantity]]*tblOrders[[#This Row],[UnitCost]]</f>
        <v>1300</v>
      </c>
      <c r="O767">
        <f>tblOrders[[#This Row],[Revenue]]-tblOrders[[#This Row],[Cost]]</f>
        <v>700</v>
      </c>
      <c r="P767" t="str">
        <f>TEXT(tblOrders[[#This Row],[OrderDate]],"mmm")</f>
        <v>Aug</v>
      </c>
    </row>
    <row r="768" spans="1:16" x14ac:dyDescent="0.25">
      <c r="A768" t="s">
        <v>429</v>
      </c>
      <c r="B768" s="2">
        <v>46008</v>
      </c>
      <c r="C768" t="s">
        <v>245</v>
      </c>
      <c r="D768" t="s">
        <v>39</v>
      </c>
      <c r="E768" t="s">
        <v>76</v>
      </c>
      <c r="F768" t="s">
        <v>64</v>
      </c>
      <c r="G768">
        <v>9</v>
      </c>
      <c r="H768">
        <v>500</v>
      </c>
      <c r="I768">
        <v>0.15</v>
      </c>
      <c r="J768" t="str">
        <f>_xlfn.XLOOKUP(tblOrders[[#This Row],[ProductID]],Products!$A$2:$A$9,Products!$B$2:$B$9,"Unknown")</f>
        <v>Mouse</v>
      </c>
      <c r="K768" t="str">
        <f>_xlfn.XLOOKUP(tblOrders[[#This Row],[ProductID]],Products!$A$2:$A$9,Products!$C$2:$C$9,"Unknown")</f>
        <v>Accessories</v>
      </c>
      <c r="L768">
        <f>_xlfn.XLOOKUP(tblOrders[[#This Row],[ProductID]],Products!$A$2:$A$9,Products!$D$2:$D$9,0)</f>
        <v>320</v>
      </c>
      <c r="M768">
        <f>tblOrders[[#This Row],[Quantity]]*tblOrders[[#This Row],[UnitPrice]]*(1-tblOrders[[#This Row],[Discount]])</f>
        <v>3825</v>
      </c>
      <c r="N768">
        <f>tblOrders[[#This Row],[Quantity]]*tblOrders[[#This Row],[UnitCost]]</f>
        <v>2880</v>
      </c>
      <c r="O768">
        <f>tblOrders[[#This Row],[Revenue]]-tblOrders[[#This Row],[Cost]]</f>
        <v>945</v>
      </c>
      <c r="P768" t="str">
        <f>TEXT(tblOrders[[#This Row],[OrderDate]],"mmm")</f>
        <v>Dec</v>
      </c>
    </row>
    <row r="769" spans="1:16" x14ac:dyDescent="0.25">
      <c r="A769" t="s">
        <v>478</v>
      </c>
      <c r="B769" s="2">
        <v>45909</v>
      </c>
      <c r="C769" t="s">
        <v>45</v>
      </c>
      <c r="D769" t="s">
        <v>16</v>
      </c>
      <c r="E769" t="s">
        <v>17</v>
      </c>
      <c r="F769" t="s">
        <v>23</v>
      </c>
      <c r="G769">
        <v>7</v>
      </c>
      <c r="H769">
        <v>900</v>
      </c>
      <c r="I769">
        <v>0.1</v>
      </c>
      <c r="J769" t="str">
        <f>_xlfn.XLOOKUP(tblOrders[[#This Row],[ProductID]],Products!$A$2:$A$9,Products!$B$2:$B$9,"Unknown")</f>
        <v>Keyboard</v>
      </c>
      <c r="K769" t="str">
        <f>_xlfn.XLOOKUP(tblOrders[[#This Row],[ProductID]],Products!$A$2:$A$9,Products!$C$2:$C$9,"Unknown")</f>
        <v>Accessories</v>
      </c>
      <c r="L769">
        <f>_xlfn.XLOOKUP(tblOrders[[#This Row],[ProductID]],Products!$A$2:$A$9,Products!$D$2:$D$9,0)</f>
        <v>600</v>
      </c>
      <c r="M769">
        <f>tblOrders[[#This Row],[Quantity]]*tblOrders[[#This Row],[UnitPrice]]*(1-tblOrders[[#This Row],[Discount]])</f>
        <v>5670</v>
      </c>
      <c r="N769">
        <f>tblOrders[[#This Row],[Quantity]]*tblOrders[[#This Row],[UnitCost]]</f>
        <v>4200</v>
      </c>
      <c r="O769">
        <f>tblOrders[[#This Row],[Revenue]]-tblOrders[[#This Row],[Cost]]</f>
        <v>1470</v>
      </c>
      <c r="P769" t="str">
        <f>TEXT(tblOrders[[#This Row],[OrderDate]],"mmm")</f>
        <v>Sep</v>
      </c>
    </row>
    <row r="770" spans="1:16" x14ac:dyDescent="0.25">
      <c r="A770" t="s">
        <v>889</v>
      </c>
      <c r="B770" s="2">
        <v>45839</v>
      </c>
      <c r="C770" t="s">
        <v>48</v>
      </c>
      <c r="D770" t="s">
        <v>11</v>
      </c>
      <c r="E770" t="s">
        <v>12</v>
      </c>
      <c r="F770" t="s">
        <v>18</v>
      </c>
      <c r="G770">
        <v>7</v>
      </c>
      <c r="H770">
        <v>18000</v>
      </c>
      <c r="I770">
        <v>0</v>
      </c>
      <c r="J770" t="str">
        <f>_xlfn.XLOOKUP(tblOrders[[#This Row],[ProductID]],Products!$A$2:$A$9,Products!$B$2:$B$9,"Unknown")</f>
        <v>Tablet</v>
      </c>
      <c r="K770" t="str">
        <f>_xlfn.XLOOKUP(tblOrders[[#This Row],[ProductID]],Products!$A$2:$A$9,Products!$C$2:$C$9,"Unknown")</f>
        <v>Electronics</v>
      </c>
      <c r="L770">
        <f>_xlfn.XLOOKUP(tblOrders[[#This Row],[ProductID]],Products!$A$2:$A$9,Products!$D$2:$D$9,0)</f>
        <v>13500</v>
      </c>
      <c r="M770">
        <f>tblOrders[[#This Row],[Quantity]]*tblOrders[[#This Row],[UnitPrice]]*(1-tblOrders[[#This Row],[Discount]])</f>
        <v>126000</v>
      </c>
      <c r="N770">
        <f>tblOrders[[#This Row],[Quantity]]*tblOrders[[#This Row],[UnitCost]]</f>
        <v>94500</v>
      </c>
      <c r="O770">
        <f>tblOrders[[#This Row],[Revenue]]-tblOrders[[#This Row],[Cost]]</f>
        <v>31500</v>
      </c>
      <c r="P770" t="str">
        <f>TEXT(tblOrders[[#This Row],[OrderDate]],"mmm")</f>
        <v>Jul</v>
      </c>
    </row>
    <row r="771" spans="1:16" x14ac:dyDescent="0.25">
      <c r="A771" t="s">
        <v>916</v>
      </c>
      <c r="B771" s="2">
        <v>45670</v>
      </c>
      <c r="C771" t="s">
        <v>38</v>
      </c>
      <c r="D771" t="s">
        <v>11</v>
      </c>
      <c r="E771" t="s">
        <v>46</v>
      </c>
      <c r="F771" t="s">
        <v>23</v>
      </c>
      <c r="G771">
        <v>6</v>
      </c>
      <c r="H771">
        <v>900</v>
      </c>
      <c r="I771">
        <v>0.15</v>
      </c>
      <c r="J771" t="str">
        <f>_xlfn.XLOOKUP(tblOrders[[#This Row],[ProductID]],Products!$A$2:$A$9,Products!$B$2:$B$9,"Unknown")</f>
        <v>Keyboard</v>
      </c>
      <c r="K771" t="str">
        <f>_xlfn.XLOOKUP(tblOrders[[#This Row],[ProductID]],Products!$A$2:$A$9,Products!$C$2:$C$9,"Unknown")</f>
        <v>Accessories</v>
      </c>
      <c r="L771">
        <f>_xlfn.XLOOKUP(tblOrders[[#This Row],[ProductID]],Products!$A$2:$A$9,Products!$D$2:$D$9,0)</f>
        <v>600</v>
      </c>
      <c r="M771">
        <f>tblOrders[[#This Row],[Quantity]]*tblOrders[[#This Row],[UnitPrice]]*(1-tblOrders[[#This Row],[Discount]])</f>
        <v>4590</v>
      </c>
      <c r="N771">
        <f>tblOrders[[#This Row],[Quantity]]*tblOrders[[#This Row],[UnitCost]]</f>
        <v>3600</v>
      </c>
      <c r="O771">
        <f>tblOrders[[#This Row],[Revenue]]-tblOrders[[#This Row],[Cost]]</f>
        <v>990</v>
      </c>
      <c r="P771" t="str">
        <f>TEXT(tblOrders[[#This Row],[OrderDate]],"mmm")</f>
        <v>Jan</v>
      </c>
    </row>
    <row r="772" spans="1:16" x14ac:dyDescent="0.25">
      <c r="A772" t="s">
        <v>700</v>
      </c>
      <c r="B772" s="2">
        <v>45997</v>
      </c>
      <c r="C772" t="s">
        <v>1102</v>
      </c>
      <c r="D772" t="s">
        <v>11</v>
      </c>
      <c r="E772" t="s">
        <v>46</v>
      </c>
      <c r="F772" t="s">
        <v>34</v>
      </c>
      <c r="G772">
        <v>9</v>
      </c>
      <c r="H772">
        <v>55000</v>
      </c>
      <c r="I772">
        <v>0.05</v>
      </c>
      <c r="J772" t="str">
        <f>_xlfn.XLOOKUP(tblOrders[[#This Row],[ProductID]],Products!$A$2:$A$9,Products!$B$2:$B$9,"Unknown")</f>
        <v>Laptop</v>
      </c>
      <c r="K772" t="str">
        <f>_xlfn.XLOOKUP(tblOrders[[#This Row],[ProductID]],Products!$A$2:$A$9,Products!$C$2:$C$9,"Unknown")</f>
        <v>Electronics</v>
      </c>
      <c r="L772">
        <f>_xlfn.XLOOKUP(tblOrders[[#This Row],[ProductID]],Products!$A$2:$A$9,Products!$D$2:$D$9,0)</f>
        <v>41000</v>
      </c>
      <c r="M772">
        <f>tblOrders[[#This Row],[Quantity]]*tblOrders[[#This Row],[UnitPrice]]*(1-tblOrders[[#This Row],[Discount]])</f>
        <v>470250</v>
      </c>
      <c r="N772">
        <f>tblOrders[[#This Row],[Quantity]]*tblOrders[[#This Row],[UnitCost]]</f>
        <v>369000</v>
      </c>
      <c r="O772">
        <f>tblOrders[[#This Row],[Revenue]]-tblOrders[[#This Row],[Cost]]</f>
        <v>101250</v>
      </c>
      <c r="P772" t="str">
        <f>TEXT(tblOrders[[#This Row],[OrderDate]],"mmm")</f>
        <v>Dec</v>
      </c>
    </row>
    <row r="773" spans="1:16" x14ac:dyDescent="0.25">
      <c r="A773" t="s">
        <v>766</v>
      </c>
      <c r="B773" s="2">
        <v>45926</v>
      </c>
      <c r="C773" t="s">
        <v>32</v>
      </c>
      <c r="D773" t="s">
        <v>11</v>
      </c>
      <c r="E773" t="s">
        <v>46</v>
      </c>
      <c r="F773" t="s">
        <v>55</v>
      </c>
      <c r="G773">
        <v>2</v>
      </c>
      <c r="H773">
        <v>8000</v>
      </c>
      <c r="I773">
        <v>0</v>
      </c>
      <c r="J773" t="str">
        <f>_xlfn.XLOOKUP(tblOrders[[#This Row],[ProductID]],Products!$A$2:$A$9,Products!$B$2:$B$9,"Unknown")</f>
        <v>Printer</v>
      </c>
      <c r="K773" t="str">
        <f>_xlfn.XLOOKUP(tblOrders[[#This Row],[ProductID]],Products!$A$2:$A$9,Products!$C$2:$C$9,"Unknown")</f>
        <v>Electronics</v>
      </c>
      <c r="L773">
        <f>_xlfn.XLOOKUP(tblOrders[[#This Row],[ProductID]],Products!$A$2:$A$9,Products!$D$2:$D$9,0)</f>
        <v>6200</v>
      </c>
      <c r="M773">
        <f>tblOrders[[#This Row],[Quantity]]*tblOrders[[#This Row],[UnitPrice]]*(1-tblOrders[[#This Row],[Discount]])</f>
        <v>16000</v>
      </c>
      <c r="N773">
        <f>tblOrders[[#This Row],[Quantity]]*tblOrders[[#This Row],[UnitCost]]</f>
        <v>12400</v>
      </c>
      <c r="O773">
        <f>tblOrders[[#This Row],[Revenue]]-tblOrders[[#This Row],[Cost]]</f>
        <v>3600</v>
      </c>
      <c r="P773" t="str">
        <f>TEXT(tblOrders[[#This Row],[OrderDate]],"mmm")</f>
        <v>Sep</v>
      </c>
    </row>
    <row r="774" spans="1:16" x14ac:dyDescent="0.25">
      <c r="A774" t="s">
        <v>918</v>
      </c>
      <c r="B774" s="2">
        <v>45893</v>
      </c>
      <c r="C774" t="s">
        <v>138</v>
      </c>
      <c r="D774" t="s">
        <v>39</v>
      </c>
      <c r="E774" t="s">
        <v>76</v>
      </c>
      <c r="F774" t="s">
        <v>43</v>
      </c>
      <c r="G774">
        <v>7</v>
      </c>
      <c r="H774">
        <v>1500</v>
      </c>
      <c r="I774">
        <v>0.05</v>
      </c>
      <c r="J774" t="str">
        <f>_xlfn.XLOOKUP(tblOrders[[#This Row],[ProductID]],Products!$A$2:$A$9,Products!$B$2:$B$9,"Unknown")</f>
        <v>Webcam</v>
      </c>
      <c r="K774" t="str">
        <f>_xlfn.XLOOKUP(tblOrders[[#This Row],[ProductID]],Products!$A$2:$A$9,Products!$C$2:$C$9,"Unknown")</f>
        <v>Accessories</v>
      </c>
      <c r="L774">
        <f>_xlfn.XLOOKUP(tblOrders[[#This Row],[ProductID]],Products!$A$2:$A$9,Products!$D$2:$D$9,0)</f>
        <v>980</v>
      </c>
      <c r="M774">
        <f>tblOrders[[#This Row],[Quantity]]*tblOrders[[#This Row],[UnitPrice]]*(1-tblOrders[[#This Row],[Discount]])</f>
        <v>9975</v>
      </c>
      <c r="N774">
        <f>tblOrders[[#This Row],[Quantity]]*tblOrders[[#This Row],[UnitCost]]</f>
        <v>6860</v>
      </c>
      <c r="O774">
        <f>tblOrders[[#This Row],[Revenue]]-tblOrders[[#This Row],[Cost]]</f>
        <v>3115</v>
      </c>
      <c r="P774" t="str">
        <f>TEXT(tblOrders[[#This Row],[OrderDate]],"mmm")</f>
        <v>Aug</v>
      </c>
    </row>
    <row r="775" spans="1:16" x14ac:dyDescent="0.25">
      <c r="A775" t="s">
        <v>875</v>
      </c>
      <c r="B775" s="2">
        <v>45760</v>
      </c>
      <c r="C775" t="s">
        <v>130</v>
      </c>
      <c r="D775" t="s">
        <v>21</v>
      </c>
      <c r="E775" t="s">
        <v>28</v>
      </c>
      <c r="F775" t="s">
        <v>55</v>
      </c>
      <c r="G775">
        <v>10</v>
      </c>
      <c r="H775">
        <v>8000</v>
      </c>
      <c r="I775">
        <v>0</v>
      </c>
      <c r="J775" t="str">
        <f>_xlfn.XLOOKUP(tblOrders[[#This Row],[ProductID]],Products!$A$2:$A$9,Products!$B$2:$B$9,"Unknown")</f>
        <v>Printer</v>
      </c>
      <c r="K775" t="str">
        <f>_xlfn.XLOOKUP(tblOrders[[#This Row],[ProductID]],Products!$A$2:$A$9,Products!$C$2:$C$9,"Unknown")</f>
        <v>Electronics</v>
      </c>
      <c r="L775">
        <f>_xlfn.XLOOKUP(tblOrders[[#This Row],[ProductID]],Products!$A$2:$A$9,Products!$D$2:$D$9,0)</f>
        <v>6200</v>
      </c>
      <c r="M775">
        <f>tblOrders[[#This Row],[Quantity]]*tblOrders[[#This Row],[UnitPrice]]*(1-tblOrders[[#This Row],[Discount]])</f>
        <v>80000</v>
      </c>
      <c r="N775">
        <f>tblOrders[[#This Row],[Quantity]]*tblOrders[[#This Row],[UnitCost]]</f>
        <v>62000</v>
      </c>
      <c r="O775">
        <f>tblOrders[[#This Row],[Revenue]]-tblOrders[[#This Row],[Cost]]</f>
        <v>18000</v>
      </c>
      <c r="P775" t="str">
        <f>TEXT(tblOrders[[#This Row],[OrderDate]],"mmm")</f>
        <v>Apr</v>
      </c>
    </row>
    <row r="776" spans="1:16" x14ac:dyDescent="0.25">
      <c r="A776" t="s">
        <v>106</v>
      </c>
      <c r="B776" s="2">
        <v>45785</v>
      </c>
      <c r="C776" t="s">
        <v>107</v>
      </c>
      <c r="D776" t="s">
        <v>11</v>
      </c>
      <c r="E776" t="s">
        <v>12</v>
      </c>
      <c r="F776" t="s">
        <v>13</v>
      </c>
      <c r="G776">
        <v>10</v>
      </c>
      <c r="H776">
        <v>2000</v>
      </c>
      <c r="I776">
        <v>0</v>
      </c>
      <c r="J776" t="str">
        <f>_xlfn.XLOOKUP(tblOrders[[#This Row],[ProductID]],Products!$A$2:$A$9,Products!$B$2:$B$9,"Unknown")</f>
        <v>Headset</v>
      </c>
      <c r="K776" t="str">
        <f>_xlfn.XLOOKUP(tblOrders[[#This Row],[ProductID]],Products!$A$2:$A$9,Products!$C$2:$C$9,"Unknown")</f>
        <v>Accessories</v>
      </c>
      <c r="L776">
        <f>_xlfn.XLOOKUP(tblOrders[[#This Row],[ProductID]],Products!$A$2:$A$9,Products!$D$2:$D$9,0)</f>
        <v>1300</v>
      </c>
      <c r="M776">
        <f>tblOrders[[#This Row],[Quantity]]*tblOrders[[#This Row],[UnitPrice]]*(1-tblOrders[[#This Row],[Discount]])</f>
        <v>20000</v>
      </c>
      <c r="N776">
        <f>tblOrders[[#This Row],[Quantity]]*tblOrders[[#This Row],[UnitCost]]</f>
        <v>13000</v>
      </c>
      <c r="O776">
        <f>tblOrders[[#This Row],[Revenue]]-tblOrders[[#This Row],[Cost]]</f>
        <v>7000</v>
      </c>
      <c r="P776" t="str">
        <f>TEXT(tblOrders[[#This Row],[OrderDate]],"mmm")</f>
        <v>May</v>
      </c>
    </row>
    <row r="777" spans="1:16" x14ac:dyDescent="0.25">
      <c r="A777" t="s">
        <v>643</v>
      </c>
      <c r="B777" s="2">
        <v>45746</v>
      </c>
      <c r="C777" t="s">
        <v>27</v>
      </c>
      <c r="D777" t="s">
        <v>16</v>
      </c>
      <c r="E777" t="s">
        <v>33</v>
      </c>
      <c r="F777" t="s">
        <v>34</v>
      </c>
      <c r="G777">
        <v>15</v>
      </c>
      <c r="H777">
        <v>55000</v>
      </c>
      <c r="I777">
        <v>0</v>
      </c>
      <c r="J777" t="str">
        <f>_xlfn.XLOOKUP(tblOrders[[#This Row],[ProductID]],Products!$A$2:$A$9,Products!$B$2:$B$9,"Unknown")</f>
        <v>Laptop</v>
      </c>
      <c r="K777" t="str">
        <f>_xlfn.XLOOKUP(tblOrders[[#This Row],[ProductID]],Products!$A$2:$A$9,Products!$C$2:$C$9,"Unknown")</f>
        <v>Electronics</v>
      </c>
      <c r="L777">
        <f>_xlfn.XLOOKUP(tblOrders[[#This Row],[ProductID]],Products!$A$2:$A$9,Products!$D$2:$D$9,0)</f>
        <v>41000</v>
      </c>
      <c r="M777">
        <f>tblOrders[[#This Row],[Quantity]]*tblOrders[[#This Row],[UnitPrice]]*(1-tblOrders[[#This Row],[Discount]])</f>
        <v>825000</v>
      </c>
      <c r="N777">
        <f>tblOrders[[#This Row],[Quantity]]*tblOrders[[#This Row],[UnitCost]]</f>
        <v>615000</v>
      </c>
      <c r="O777">
        <f>tblOrders[[#This Row],[Revenue]]-tblOrders[[#This Row],[Cost]]</f>
        <v>210000</v>
      </c>
      <c r="P777" t="str">
        <f>TEXT(tblOrders[[#This Row],[OrderDate]],"mmm")</f>
        <v>Mar</v>
      </c>
    </row>
    <row r="778" spans="1:16" x14ac:dyDescent="0.25">
      <c r="A778" t="s">
        <v>351</v>
      </c>
      <c r="B778" s="2">
        <v>45818</v>
      </c>
      <c r="C778" t="s">
        <v>54</v>
      </c>
      <c r="D778" t="s">
        <v>39</v>
      </c>
      <c r="E778" t="s">
        <v>40</v>
      </c>
      <c r="F778" t="s">
        <v>18</v>
      </c>
      <c r="G778">
        <v>7</v>
      </c>
      <c r="H778">
        <v>18000</v>
      </c>
      <c r="I778">
        <v>0.1</v>
      </c>
      <c r="J778" t="str">
        <f>_xlfn.XLOOKUP(tblOrders[[#This Row],[ProductID]],Products!$A$2:$A$9,Products!$B$2:$B$9,"Unknown")</f>
        <v>Tablet</v>
      </c>
      <c r="K778" t="str">
        <f>_xlfn.XLOOKUP(tblOrders[[#This Row],[ProductID]],Products!$A$2:$A$9,Products!$C$2:$C$9,"Unknown")</f>
        <v>Electronics</v>
      </c>
      <c r="L778">
        <f>_xlfn.XLOOKUP(tblOrders[[#This Row],[ProductID]],Products!$A$2:$A$9,Products!$D$2:$D$9,0)</f>
        <v>13500</v>
      </c>
      <c r="M778">
        <f>tblOrders[[#This Row],[Quantity]]*tblOrders[[#This Row],[UnitPrice]]*(1-tblOrders[[#This Row],[Discount]])</f>
        <v>113400</v>
      </c>
      <c r="N778">
        <f>tblOrders[[#This Row],[Quantity]]*tblOrders[[#This Row],[UnitCost]]</f>
        <v>94500</v>
      </c>
      <c r="O778">
        <f>tblOrders[[#This Row],[Revenue]]-tblOrders[[#This Row],[Cost]]</f>
        <v>18900</v>
      </c>
      <c r="P778" t="str">
        <f>TEXT(tblOrders[[#This Row],[OrderDate]],"mmm")</f>
        <v>Jun</v>
      </c>
    </row>
    <row r="779" spans="1:16" x14ac:dyDescent="0.25">
      <c r="A779" t="s">
        <v>646</v>
      </c>
      <c r="B779" s="2">
        <v>45941</v>
      </c>
      <c r="C779" t="s">
        <v>195</v>
      </c>
      <c r="D779" t="s">
        <v>39</v>
      </c>
      <c r="E779" t="s">
        <v>76</v>
      </c>
      <c r="F779" t="s">
        <v>43</v>
      </c>
      <c r="G779">
        <v>11</v>
      </c>
      <c r="H779">
        <v>1500</v>
      </c>
      <c r="I779">
        <v>0.05</v>
      </c>
      <c r="J779" t="str">
        <f>_xlfn.XLOOKUP(tblOrders[[#This Row],[ProductID]],Products!$A$2:$A$9,Products!$B$2:$B$9,"Unknown")</f>
        <v>Webcam</v>
      </c>
      <c r="K779" t="str">
        <f>_xlfn.XLOOKUP(tblOrders[[#This Row],[ProductID]],Products!$A$2:$A$9,Products!$C$2:$C$9,"Unknown")</f>
        <v>Accessories</v>
      </c>
      <c r="L779">
        <f>_xlfn.XLOOKUP(tblOrders[[#This Row],[ProductID]],Products!$A$2:$A$9,Products!$D$2:$D$9,0)</f>
        <v>980</v>
      </c>
      <c r="M779">
        <f>tblOrders[[#This Row],[Quantity]]*tblOrders[[#This Row],[UnitPrice]]*(1-tblOrders[[#This Row],[Discount]])</f>
        <v>15675</v>
      </c>
      <c r="N779">
        <f>tblOrders[[#This Row],[Quantity]]*tblOrders[[#This Row],[UnitCost]]</f>
        <v>10780</v>
      </c>
      <c r="O779">
        <f>tblOrders[[#This Row],[Revenue]]-tblOrders[[#This Row],[Cost]]</f>
        <v>4895</v>
      </c>
      <c r="P779" t="str">
        <f>TEXT(tblOrders[[#This Row],[OrderDate]],"mmm")</f>
        <v>Oct</v>
      </c>
    </row>
    <row r="780" spans="1:16" x14ac:dyDescent="0.25">
      <c r="A780" t="s">
        <v>164</v>
      </c>
      <c r="B780" s="2">
        <v>45818</v>
      </c>
      <c r="C780" t="s">
        <v>36</v>
      </c>
      <c r="D780" t="s">
        <v>11</v>
      </c>
      <c r="E780" t="s">
        <v>46</v>
      </c>
      <c r="F780" t="s">
        <v>23</v>
      </c>
      <c r="G780">
        <v>7</v>
      </c>
      <c r="H780">
        <v>900</v>
      </c>
      <c r="I780">
        <v>0</v>
      </c>
      <c r="J780" t="str">
        <f>_xlfn.XLOOKUP(tblOrders[[#This Row],[ProductID]],Products!$A$2:$A$9,Products!$B$2:$B$9,"Unknown")</f>
        <v>Keyboard</v>
      </c>
      <c r="K780" t="str">
        <f>_xlfn.XLOOKUP(tblOrders[[#This Row],[ProductID]],Products!$A$2:$A$9,Products!$C$2:$C$9,"Unknown")</f>
        <v>Accessories</v>
      </c>
      <c r="L780">
        <f>_xlfn.XLOOKUP(tblOrders[[#This Row],[ProductID]],Products!$A$2:$A$9,Products!$D$2:$D$9,0)</f>
        <v>600</v>
      </c>
      <c r="M780">
        <f>tblOrders[[#This Row],[Quantity]]*tblOrders[[#This Row],[UnitPrice]]*(1-tblOrders[[#This Row],[Discount]])</f>
        <v>6300</v>
      </c>
      <c r="N780">
        <f>tblOrders[[#This Row],[Quantity]]*tblOrders[[#This Row],[UnitCost]]</f>
        <v>4200</v>
      </c>
      <c r="O780">
        <f>tblOrders[[#This Row],[Revenue]]-tblOrders[[#This Row],[Cost]]</f>
        <v>2100</v>
      </c>
      <c r="P780" t="str">
        <f>TEXT(tblOrders[[#This Row],[OrderDate]],"mmm")</f>
        <v>Jun</v>
      </c>
    </row>
    <row r="781" spans="1:16" x14ac:dyDescent="0.25">
      <c r="A781" t="s">
        <v>51</v>
      </c>
      <c r="B781" s="2">
        <v>45844</v>
      </c>
      <c r="C781" t="s">
        <v>52</v>
      </c>
      <c r="D781" t="s">
        <v>16</v>
      </c>
      <c r="E781" t="s">
        <v>33</v>
      </c>
      <c r="F781" t="s">
        <v>34</v>
      </c>
      <c r="G781">
        <v>13</v>
      </c>
      <c r="H781">
        <v>55000</v>
      </c>
      <c r="I781">
        <v>0</v>
      </c>
      <c r="J781" t="str">
        <f>_xlfn.XLOOKUP(tblOrders[[#This Row],[ProductID]],Products!$A$2:$A$9,Products!$B$2:$B$9,"Unknown")</f>
        <v>Laptop</v>
      </c>
      <c r="K781" t="str">
        <f>_xlfn.XLOOKUP(tblOrders[[#This Row],[ProductID]],Products!$A$2:$A$9,Products!$C$2:$C$9,"Unknown")</f>
        <v>Electronics</v>
      </c>
      <c r="L781">
        <f>_xlfn.XLOOKUP(tblOrders[[#This Row],[ProductID]],Products!$A$2:$A$9,Products!$D$2:$D$9,0)</f>
        <v>41000</v>
      </c>
      <c r="M781">
        <f>tblOrders[[#This Row],[Quantity]]*tblOrders[[#This Row],[UnitPrice]]*(1-tblOrders[[#This Row],[Discount]])</f>
        <v>715000</v>
      </c>
      <c r="N781">
        <f>tblOrders[[#This Row],[Quantity]]*tblOrders[[#This Row],[UnitCost]]</f>
        <v>533000</v>
      </c>
      <c r="O781">
        <f>tblOrders[[#This Row],[Revenue]]-tblOrders[[#This Row],[Cost]]</f>
        <v>182000</v>
      </c>
      <c r="P781" t="str">
        <f>TEXT(tblOrders[[#This Row],[OrderDate]],"mmm")</f>
        <v>Jul</v>
      </c>
    </row>
    <row r="782" spans="1:16" x14ac:dyDescent="0.25">
      <c r="A782" t="s">
        <v>473</v>
      </c>
      <c r="B782" s="2">
        <v>45933</v>
      </c>
      <c r="C782" t="s">
        <v>229</v>
      </c>
      <c r="D782" t="s">
        <v>11</v>
      </c>
      <c r="E782" t="s">
        <v>46</v>
      </c>
      <c r="F782" t="s">
        <v>18</v>
      </c>
      <c r="G782">
        <v>15</v>
      </c>
      <c r="H782">
        <v>18000</v>
      </c>
      <c r="I782">
        <v>0</v>
      </c>
      <c r="J782" t="str">
        <f>_xlfn.XLOOKUP(tblOrders[[#This Row],[ProductID]],Products!$A$2:$A$9,Products!$B$2:$B$9,"Unknown")</f>
        <v>Tablet</v>
      </c>
      <c r="K782" t="str">
        <f>_xlfn.XLOOKUP(tblOrders[[#This Row],[ProductID]],Products!$A$2:$A$9,Products!$C$2:$C$9,"Unknown")</f>
        <v>Electronics</v>
      </c>
      <c r="L782">
        <f>_xlfn.XLOOKUP(tblOrders[[#This Row],[ProductID]],Products!$A$2:$A$9,Products!$D$2:$D$9,0)</f>
        <v>13500</v>
      </c>
      <c r="M782">
        <f>tblOrders[[#This Row],[Quantity]]*tblOrders[[#This Row],[UnitPrice]]*(1-tblOrders[[#This Row],[Discount]])</f>
        <v>270000</v>
      </c>
      <c r="N782">
        <f>tblOrders[[#This Row],[Quantity]]*tblOrders[[#This Row],[UnitCost]]</f>
        <v>202500</v>
      </c>
      <c r="O782">
        <f>tblOrders[[#This Row],[Revenue]]-tblOrders[[#This Row],[Cost]]</f>
        <v>67500</v>
      </c>
      <c r="P782" t="str">
        <f>TEXT(tblOrders[[#This Row],[OrderDate]],"mmm")</f>
        <v>Oct</v>
      </c>
    </row>
    <row r="783" spans="1:16" x14ac:dyDescent="0.25">
      <c r="A783" t="s">
        <v>264</v>
      </c>
      <c r="B783" s="2">
        <v>45667</v>
      </c>
      <c r="C783" t="s">
        <v>52</v>
      </c>
      <c r="D783" t="s">
        <v>11</v>
      </c>
      <c r="E783" t="s">
        <v>12</v>
      </c>
      <c r="F783" t="s">
        <v>18</v>
      </c>
      <c r="G783">
        <v>5</v>
      </c>
      <c r="H783">
        <v>18000</v>
      </c>
      <c r="I783">
        <v>0</v>
      </c>
      <c r="J783" t="str">
        <f>_xlfn.XLOOKUP(tblOrders[[#This Row],[ProductID]],Products!$A$2:$A$9,Products!$B$2:$B$9,"Unknown")</f>
        <v>Tablet</v>
      </c>
      <c r="K783" t="str">
        <f>_xlfn.XLOOKUP(tblOrders[[#This Row],[ProductID]],Products!$A$2:$A$9,Products!$C$2:$C$9,"Unknown")</f>
        <v>Electronics</v>
      </c>
      <c r="L783">
        <f>_xlfn.XLOOKUP(tblOrders[[#This Row],[ProductID]],Products!$A$2:$A$9,Products!$D$2:$D$9,0)</f>
        <v>13500</v>
      </c>
      <c r="M783">
        <f>tblOrders[[#This Row],[Quantity]]*tblOrders[[#This Row],[UnitPrice]]*(1-tblOrders[[#This Row],[Discount]])</f>
        <v>90000</v>
      </c>
      <c r="N783">
        <f>tblOrders[[#This Row],[Quantity]]*tblOrders[[#This Row],[UnitCost]]</f>
        <v>67500</v>
      </c>
      <c r="O783">
        <f>tblOrders[[#This Row],[Revenue]]-tblOrders[[#This Row],[Cost]]</f>
        <v>22500</v>
      </c>
      <c r="P783" t="str">
        <f>TEXT(tblOrders[[#This Row],[OrderDate]],"mmm")</f>
        <v>Jan</v>
      </c>
    </row>
    <row r="784" spans="1:16" x14ac:dyDescent="0.25">
      <c r="A784" t="s">
        <v>337</v>
      </c>
      <c r="B784" s="2">
        <v>45916</v>
      </c>
      <c r="C784" t="s">
        <v>135</v>
      </c>
      <c r="D784" t="s">
        <v>21</v>
      </c>
      <c r="E784" t="s">
        <v>28</v>
      </c>
      <c r="F784" t="s">
        <v>13</v>
      </c>
      <c r="G784">
        <v>4</v>
      </c>
      <c r="H784">
        <v>2000</v>
      </c>
      <c r="I784">
        <v>0.05</v>
      </c>
      <c r="J784" t="str">
        <f>_xlfn.XLOOKUP(tblOrders[[#This Row],[ProductID]],Products!$A$2:$A$9,Products!$B$2:$B$9,"Unknown")</f>
        <v>Headset</v>
      </c>
      <c r="K784" t="str">
        <f>_xlfn.XLOOKUP(tblOrders[[#This Row],[ProductID]],Products!$A$2:$A$9,Products!$C$2:$C$9,"Unknown")</f>
        <v>Accessories</v>
      </c>
      <c r="L784">
        <f>_xlfn.XLOOKUP(tblOrders[[#This Row],[ProductID]],Products!$A$2:$A$9,Products!$D$2:$D$9,0)</f>
        <v>1300</v>
      </c>
      <c r="M784">
        <f>tblOrders[[#This Row],[Quantity]]*tblOrders[[#This Row],[UnitPrice]]*(1-tblOrders[[#This Row],[Discount]])</f>
        <v>7600</v>
      </c>
      <c r="N784">
        <f>tblOrders[[#This Row],[Quantity]]*tblOrders[[#This Row],[UnitCost]]</f>
        <v>5200</v>
      </c>
      <c r="O784">
        <f>tblOrders[[#This Row],[Revenue]]-tblOrders[[#This Row],[Cost]]</f>
        <v>2400</v>
      </c>
      <c r="P784" t="str">
        <f>TEXT(tblOrders[[#This Row],[OrderDate]],"mmm")</f>
        <v>Sep</v>
      </c>
    </row>
    <row r="785" spans="1:16" x14ac:dyDescent="0.25">
      <c r="A785" t="s">
        <v>694</v>
      </c>
      <c r="B785" s="2">
        <v>45997</v>
      </c>
      <c r="C785" t="s">
        <v>82</v>
      </c>
      <c r="D785" t="s">
        <v>11</v>
      </c>
      <c r="E785" t="s">
        <v>46</v>
      </c>
      <c r="F785" t="s">
        <v>43</v>
      </c>
      <c r="G785">
        <v>5</v>
      </c>
      <c r="H785">
        <v>1500</v>
      </c>
      <c r="I785">
        <v>0</v>
      </c>
      <c r="J785" t="str">
        <f>_xlfn.XLOOKUP(tblOrders[[#This Row],[ProductID]],Products!$A$2:$A$9,Products!$B$2:$B$9,"Unknown")</f>
        <v>Webcam</v>
      </c>
      <c r="K785" t="str">
        <f>_xlfn.XLOOKUP(tblOrders[[#This Row],[ProductID]],Products!$A$2:$A$9,Products!$C$2:$C$9,"Unknown")</f>
        <v>Accessories</v>
      </c>
      <c r="L785">
        <f>_xlfn.XLOOKUP(tblOrders[[#This Row],[ProductID]],Products!$A$2:$A$9,Products!$D$2:$D$9,0)</f>
        <v>980</v>
      </c>
      <c r="M785">
        <f>tblOrders[[#This Row],[Quantity]]*tblOrders[[#This Row],[UnitPrice]]*(1-tblOrders[[#This Row],[Discount]])</f>
        <v>7500</v>
      </c>
      <c r="N785">
        <f>tblOrders[[#This Row],[Quantity]]*tblOrders[[#This Row],[UnitCost]]</f>
        <v>4900</v>
      </c>
      <c r="O785">
        <f>tblOrders[[#This Row],[Revenue]]-tblOrders[[#This Row],[Cost]]</f>
        <v>2600</v>
      </c>
      <c r="P785" t="str">
        <f>TEXT(tblOrders[[#This Row],[OrderDate]],"mmm")</f>
        <v>Dec</v>
      </c>
    </row>
    <row r="786" spans="1:16" x14ac:dyDescent="0.25">
      <c r="A786" t="s">
        <v>140</v>
      </c>
      <c r="B786" s="2">
        <v>45903</v>
      </c>
      <c r="C786" t="s">
        <v>123</v>
      </c>
      <c r="D786" t="s">
        <v>39</v>
      </c>
      <c r="E786" t="s">
        <v>40</v>
      </c>
      <c r="F786" t="s">
        <v>18</v>
      </c>
      <c r="G786">
        <v>10</v>
      </c>
      <c r="H786">
        <v>18000</v>
      </c>
      <c r="I786">
        <v>0.1</v>
      </c>
      <c r="J786" t="str">
        <f>_xlfn.XLOOKUP(tblOrders[[#This Row],[ProductID]],Products!$A$2:$A$9,Products!$B$2:$B$9,"Unknown")</f>
        <v>Tablet</v>
      </c>
      <c r="K786" t="str">
        <f>_xlfn.XLOOKUP(tblOrders[[#This Row],[ProductID]],Products!$A$2:$A$9,Products!$C$2:$C$9,"Unknown")</f>
        <v>Electronics</v>
      </c>
      <c r="L786">
        <f>_xlfn.XLOOKUP(tblOrders[[#This Row],[ProductID]],Products!$A$2:$A$9,Products!$D$2:$D$9,0)</f>
        <v>13500</v>
      </c>
      <c r="M786">
        <f>tblOrders[[#This Row],[Quantity]]*tblOrders[[#This Row],[UnitPrice]]*(1-tblOrders[[#This Row],[Discount]])</f>
        <v>162000</v>
      </c>
      <c r="N786">
        <f>tblOrders[[#This Row],[Quantity]]*tblOrders[[#This Row],[UnitCost]]</f>
        <v>135000</v>
      </c>
      <c r="O786">
        <f>tblOrders[[#This Row],[Revenue]]-tblOrders[[#This Row],[Cost]]</f>
        <v>27000</v>
      </c>
      <c r="P786" t="str">
        <f>TEXT(tblOrders[[#This Row],[OrderDate]],"mmm")</f>
        <v>Sep</v>
      </c>
    </row>
    <row r="787" spans="1:16" x14ac:dyDescent="0.25">
      <c r="A787" t="s">
        <v>902</v>
      </c>
      <c r="B787" s="2">
        <v>45925</v>
      </c>
      <c r="C787" t="s">
        <v>85</v>
      </c>
      <c r="D787" t="s">
        <v>16</v>
      </c>
      <c r="E787" t="s">
        <v>33</v>
      </c>
      <c r="F787" t="s">
        <v>18</v>
      </c>
      <c r="G787">
        <v>10</v>
      </c>
      <c r="H787">
        <v>18000</v>
      </c>
      <c r="I787">
        <v>0</v>
      </c>
      <c r="J787" t="str">
        <f>_xlfn.XLOOKUP(tblOrders[[#This Row],[ProductID]],Products!$A$2:$A$9,Products!$B$2:$B$9,"Unknown")</f>
        <v>Tablet</v>
      </c>
      <c r="K787" t="str">
        <f>_xlfn.XLOOKUP(tblOrders[[#This Row],[ProductID]],Products!$A$2:$A$9,Products!$C$2:$C$9,"Unknown")</f>
        <v>Electronics</v>
      </c>
      <c r="L787">
        <f>_xlfn.XLOOKUP(tblOrders[[#This Row],[ProductID]],Products!$A$2:$A$9,Products!$D$2:$D$9,0)</f>
        <v>13500</v>
      </c>
      <c r="M787">
        <f>tblOrders[[#This Row],[Quantity]]*tblOrders[[#This Row],[UnitPrice]]*(1-tblOrders[[#This Row],[Discount]])</f>
        <v>180000</v>
      </c>
      <c r="N787">
        <f>tblOrders[[#This Row],[Quantity]]*tblOrders[[#This Row],[UnitCost]]</f>
        <v>135000</v>
      </c>
      <c r="O787">
        <f>tblOrders[[#This Row],[Revenue]]-tblOrders[[#This Row],[Cost]]</f>
        <v>45000</v>
      </c>
      <c r="P787" t="str">
        <f>TEXT(tblOrders[[#This Row],[OrderDate]],"mmm")</f>
        <v>Sep</v>
      </c>
    </row>
    <row r="788" spans="1:16" x14ac:dyDescent="0.25">
      <c r="A788" t="s">
        <v>1057</v>
      </c>
      <c r="B788" s="2">
        <v>45681</v>
      </c>
      <c r="C788" t="s">
        <v>123</v>
      </c>
      <c r="D788" t="s">
        <v>16</v>
      </c>
      <c r="E788" t="s">
        <v>17</v>
      </c>
      <c r="F788" t="s">
        <v>43</v>
      </c>
      <c r="G788">
        <v>4</v>
      </c>
      <c r="H788">
        <v>1500</v>
      </c>
      <c r="I788">
        <v>0</v>
      </c>
      <c r="J788" t="str">
        <f>_xlfn.XLOOKUP(tblOrders[[#This Row],[ProductID]],Products!$A$2:$A$9,Products!$B$2:$B$9,"Unknown")</f>
        <v>Webcam</v>
      </c>
      <c r="K788" t="str">
        <f>_xlfn.XLOOKUP(tblOrders[[#This Row],[ProductID]],Products!$A$2:$A$9,Products!$C$2:$C$9,"Unknown")</f>
        <v>Accessories</v>
      </c>
      <c r="L788">
        <f>_xlfn.XLOOKUP(tblOrders[[#This Row],[ProductID]],Products!$A$2:$A$9,Products!$D$2:$D$9,0)</f>
        <v>980</v>
      </c>
      <c r="M788">
        <f>tblOrders[[#This Row],[Quantity]]*tblOrders[[#This Row],[UnitPrice]]*(1-tblOrders[[#This Row],[Discount]])</f>
        <v>6000</v>
      </c>
      <c r="N788">
        <f>tblOrders[[#This Row],[Quantity]]*tblOrders[[#This Row],[UnitCost]]</f>
        <v>3920</v>
      </c>
      <c r="O788">
        <f>tblOrders[[#This Row],[Revenue]]-tblOrders[[#This Row],[Cost]]</f>
        <v>2080</v>
      </c>
      <c r="P788" t="str">
        <f>TEXT(tblOrders[[#This Row],[OrderDate]],"mmm")</f>
        <v>Jan</v>
      </c>
    </row>
    <row r="789" spans="1:16" x14ac:dyDescent="0.25">
      <c r="A789" t="s">
        <v>707</v>
      </c>
      <c r="B789" s="2">
        <v>45964</v>
      </c>
      <c r="C789" t="s">
        <v>66</v>
      </c>
      <c r="D789" t="s">
        <v>16</v>
      </c>
      <c r="E789" t="s">
        <v>33</v>
      </c>
      <c r="F789" t="s">
        <v>23</v>
      </c>
      <c r="G789">
        <v>10</v>
      </c>
      <c r="H789">
        <v>900</v>
      </c>
      <c r="I789">
        <v>0.05</v>
      </c>
      <c r="J789" t="str">
        <f>_xlfn.XLOOKUP(tblOrders[[#This Row],[ProductID]],Products!$A$2:$A$9,Products!$B$2:$B$9,"Unknown")</f>
        <v>Keyboard</v>
      </c>
      <c r="K789" t="str">
        <f>_xlfn.XLOOKUP(tblOrders[[#This Row],[ProductID]],Products!$A$2:$A$9,Products!$C$2:$C$9,"Unknown")</f>
        <v>Accessories</v>
      </c>
      <c r="L789">
        <f>_xlfn.XLOOKUP(tblOrders[[#This Row],[ProductID]],Products!$A$2:$A$9,Products!$D$2:$D$9,0)</f>
        <v>600</v>
      </c>
      <c r="M789">
        <f>tblOrders[[#This Row],[Quantity]]*tblOrders[[#This Row],[UnitPrice]]*(1-tblOrders[[#This Row],[Discount]])</f>
        <v>8550</v>
      </c>
      <c r="N789">
        <f>tblOrders[[#This Row],[Quantity]]*tblOrders[[#This Row],[UnitCost]]</f>
        <v>6000</v>
      </c>
      <c r="O789">
        <f>tblOrders[[#This Row],[Revenue]]-tblOrders[[#This Row],[Cost]]</f>
        <v>2550</v>
      </c>
      <c r="P789" t="str">
        <f>TEXT(tblOrders[[#This Row],[OrderDate]],"mmm")</f>
        <v>Nov</v>
      </c>
    </row>
    <row r="790" spans="1:16" x14ac:dyDescent="0.25">
      <c r="A790" t="s">
        <v>320</v>
      </c>
      <c r="B790" s="2">
        <v>45680</v>
      </c>
      <c r="C790" t="s">
        <v>155</v>
      </c>
      <c r="D790" t="s">
        <v>16</v>
      </c>
      <c r="E790" t="s">
        <v>17</v>
      </c>
      <c r="F790" t="s">
        <v>13</v>
      </c>
      <c r="G790">
        <v>3</v>
      </c>
      <c r="H790">
        <v>2000</v>
      </c>
      <c r="I790">
        <v>0.15</v>
      </c>
      <c r="J790" t="str">
        <f>_xlfn.XLOOKUP(tblOrders[[#This Row],[ProductID]],Products!$A$2:$A$9,Products!$B$2:$B$9,"Unknown")</f>
        <v>Headset</v>
      </c>
      <c r="K790" t="str">
        <f>_xlfn.XLOOKUP(tblOrders[[#This Row],[ProductID]],Products!$A$2:$A$9,Products!$C$2:$C$9,"Unknown")</f>
        <v>Accessories</v>
      </c>
      <c r="L790">
        <f>_xlfn.XLOOKUP(tblOrders[[#This Row],[ProductID]],Products!$A$2:$A$9,Products!$D$2:$D$9,0)</f>
        <v>1300</v>
      </c>
      <c r="M790">
        <f>tblOrders[[#This Row],[Quantity]]*tblOrders[[#This Row],[UnitPrice]]*(1-tblOrders[[#This Row],[Discount]])</f>
        <v>5100</v>
      </c>
      <c r="N790">
        <f>tblOrders[[#This Row],[Quantity]]*tblOrders[[#This Row],[UnitCost]]</f>
        <v>3900</v>
      </c>
      <c r="O790">
        <f>tblOrders[[#This Row],[Revenue]]-tblOrders[[#This Row],[Cost]]</f>
        <v>1200</v>
      </c>
      <c r="P790" t="str">
        <f>TEXT(tblOrders[[#This Row],[OrderDate]],"mmm")</f>
        <v>Jan</v>
      </c>
    </row>
    <row r="791" spans="1:16" x14ac:dyDescent="0.25">
      <c r="A791" t="s">
        <v>234</v>
      </c>
      <c r="B791" s="2">
        <v>45718</v>
      </c>
      <c r="C791" t="s">
        <v>90</v>
      </c>
      <c r="D791" t="s">
        <v>39</v>
      </c>
      <c r="E791" t="s">
        <v>76</v>
      </c>
      <c r="F791" t="s">
        <v>34</v>
      </c>
      <c r="G791">
        <v>11</v>
      </c>
      <c r="H791">
        <v>55000</v>
      </c>
      <c r="I791">
        <v>0.1</v>
      </c>
      <c r="J791" t="str">
        <f>_xlfn.XLOOKUP(tblOrders[[#This Row],[ProductID]],Products!$A$2:$A$9,Products!$B$2:$B$9,"Unknown")</f>
        <v>Laptop</v>
      </c>
      <c r="K791" t="str">
        <f>_xlfn.XLOOKUP(tblOrders[[#This Row],[ProductID]],Products!$A$2:$A$9,Products!$C$2:$C$9,"Unknown")</f>
        <v>Electronics</v>
      </c>
      <c r="L791">
        <f>_xlfn.XLOOKUP(tblOrders[[#This Row],[ProductID]],Products!$A$2:$A$9,Products!$D$2:$D$9,0)</f>
        <v>41000</v>
      </c>
      <c r="M791">
        <f>tblOrders[[#This Row],[Quantity]]*tblOrders[[#This Row],[UnitPrice]]*(1-tblOrders[[#This Row],[Discount]])</f>
        <v>544500</v>
      </c>
      <c r="N791">
        <f>tblOrders[[#This Row],[Quantity]]*tblOrders[[#This Row],[UnitCost]]</f>
        <v>451000</v>
      </c>
      <c r="O791">
        <f>tblOrders[[#This Row],[Revenue]]-tblOrders[[#This Row],[Cost]]</f>
        <v>93500</v>
      </c>
      <c r="P791" t="str">
        <f>TEXT(tblOrders[[#This Row],[OrderDate]],"mmm")</f>
        <v>Mar</v>
      </c>
    </row>
    <row r="792" spans="1:16" x14ac:dyDescent="0.25">
      <c r="A792" t="s">
        <v>313</v>
      </c>
      <c r="B792" s="2">
        <v>45729</v>
      </c>
      <c r="C792" t="s">
        <v>73</v>
      </c>
      <c r="D792" t="s">
        <v>16</v>
      </c>
      <c r="E792" t="s">
        <v>33</v>
      </c>
      <c r="F792" t="s">
        <v>64</v>
      </c>
      <c r="G792">
        <v>5</v>
      </c>
      <c r="H792">
        <v>500</v>
      </c>
      <c r="I792">
        <v>0.15</v>
      </c>
      <c r="J792" t="str">
        <f>_xlfn.XLOOKUP(tblOrders[[#This Row],[ProductID]],Products!$A$2:$A$9,Products!$B$2:$B$9,"Unknown")</f>
        <v>Mouse</v>
      </c>
      <c r="K792" t="str">
        <f>_xlfn.XLOOKUP(tblOrders[[#This Row],[ProductID]],Products!$A$2:$A$9,Products!$C$2:$C$9,"Unknown")</f>
        <v>Accessories</v>
      </c>
      <c r="L792">
        <f>_xlfn.XLOOKUP(tblOrders[[#This Row],[ProductID]],Products!$A$2:$A$9,Products!$D$2:$D$9,0)</f>
        <v>320</v>
      </c>
      <c r="M792">
        <f>tblOrders[[#This Row],[Quantity]]*tblOrders[[#This Row],[UnitPrice]]*(1-tblOrders[[#This Row],[Discount]])</f>
        <v>2125</v>
      </c>
      <c r="N792">
        <f>tblOrders[[#This Row],[Quantity]]*tblOrders[[#This Row],[UnitCost]]</f>
        <v>1600</v>
      </c>
      <c r="O792">
        <f>tblOrders[[#This Row],[Revenue]]-tblOrders[[#This Row],[Cost]]</f>
        <v>525</v>
      </c>
      <c r="P792" t="str">
        <f>TEXT(tblOrders[[#This Row],[OrderDate]],"mmm")</f>
        <v>Mar</v>
      </c>
    </row>
    <row r="793" spans="1:16" x14ac:dyDescent="0.25">
      <c r="A793" t="s">
        <v>554</v>
      </c>
      <c r="B793" s="2">
        <v>46020</v>
      </c>
      <c r="C793" t="s">
        <v>15</v>
      </c>
      <c r="D793" t="s">
        <v>11</v>
      </c>
      <c r="E793" t="s">
        <v>12</v>
      </c>
      <c r="F793" t="s">
        <v>55</v>
      </c>
      <c r="G793">
        <v>7</v>
      </c>
      <c r="H793">
        <v>8000</v>
      </c>
      <c r="I793">
        <v>0.15</v>
      </c>
      <c r="J793" t="str">
        <f>_xlfn.XLOOKUP(tblOrders[[#This Row],[ProductID]],Products!$A$2:$A$9,Products!$B$2:$B$9,"Unknown")</f>
        <v>Printer</v>
      </c>
      <c r="K793" t="str">
        <f>_xlfn.XLOOKUP(tblOrders[[#This Row],[ProductID]],Products!$A$2:$A$9,Products!$C$2:$C$9,"Unknown")</f>
        <v>Electronics</v>
      </c>
      <c r="L793">
        <f>_xlfn.XLOOKUP(tblOrders[[#This Row],[ProductID]],Products!$A$2:$A$9,Products!$D$2:$D$9,0)</f>
        <v>6200</v>
      </c>
      <c r="M793">
        <f>tblOrders[[#This Row],[Quantity]]*tblOrders[[#This Row],[UnitPrice]]*(1-tblOrders[[#This Row],[Discount]])</f>
        <v>47600</v>
      </c>
      <c r="N793">
        <f>tblOrders[[#This Row],[Quantity]]*tblOrders[[#This Row],[UnitCost]]</f>
        <v>43400</v>
      </c>
      <c r="O793">
        <f>tblOrders[[#This Row],[Revenue]]-tblOrders[[#This Row],[Cost]]</f>
        <v>4200</v>
      </c>
      <c r="P793" t="str">
        <f>TEXT(tblOrders[[#This Row],[OrderDate]],"mmm")</f>
        <v>Dec</v>
      </c>
    </row>
    <row r="794" spans="1:16" x14ac:dyDescent="0.25">
      <c r="A794" t="s">
        <v>367</v>
      </c>
      <c r="B794" s="2">
        <v>45703</v>
      </c>
      <c r="C794" t="s">
        <v>162</v>
      </c>
      <c r="D794" t="s">
        <v>21</v>
      </c>
      <c r="E794" t="s">
        <v>28</v>
      </c>
      <c r="F794" t="s">
        <v>69</v>
      </c>
      <c r="G794">
        <v>5</v>
      </c>
      <c r="H794">
        <v>12000</v>
      </c>
      <c r="I794">
        <v>0.05</v>
      </c>
      <c r="J794" t="str">
        <f>_xlfn.XLOOKUP(tblOrders[[#This Row],[ProductID]],Products!$A$2:$A$9,Products!$B$2:$B$9,"Unknown")</f>
        <v>Monitor</v>
      </c>
      <c r="K794" t="str">
        <f>_xlfn.XLOOKUP(tblOrders[[#This Row],[ProductID]],Products!$A$2:$A$9,Products!$C$2:$C$9,"Unknown")</f>
        <v>Electronics</v>
      </c>
      <c r="L794">
        <f>_xlfn.XLOOKUP(tblOrders[[#This Row],[ProductID]],Products!$A$2:$A$9,Products!$D$2:$D$9,0)</f>
        <v>9000</v>
      </c>
      <c r="M794">
        <f>tblOrders[[#This Row],[Quantity]]*tblOrders[[#This Row],[UnitPrice]]*(1-tblOrders[[#This Row],[Discount]])</f>
        <v>57000</v>
      </c>
      <c r="N794">
        <f>tblOrders[[#This Row],[Quantity]]*tblOrders[[#This Row],[UnitCost]]</f>
        <v>45000</v>
      </c>
      <c r="O794">
        <f>tblOrders[[#This Row],[Revenue]]-tblOrders[[#This Row],[Cost]]</f>
        <v>12000</v>
      </c>
      <c r="P794" t="str">
        <f>TEXT(tblOrders[[#This Row],[OrderDate]],"mmm")</f>
        <v>Feb</v>
      </c>
    </row>
    <row r="795" spans="1:16" x14ac:dyDescent="0.25">
      <c r="A795" t="s">
        <v>550</v>
      </c>
      <c r="B795" s="2">
        <v>45783</v>
      </c>
      <c r="C795" t="s">
        <v>132</v>
      </c>
      <c r="D795" t="s">
        <v>16</v>
      </c>
      <c r="E795" t="s">
        <v>17</v>
      </c>
      <c r="F795" t="s">
        <v>23</v>
      </c>
      <c r="G795">
        <v>6</v>
      </c>
      <c r="H795">
        <v>900</v>
      </c>
      <c r="I795">
        <v>0</v>
      </c>
      <c r="J795" t="str">
        <f>_xlfn.XLOOKUP(tblOrders[[#This Row],[ProductID]],Products!$A$2:$A$9,Products!$B$2:$B$9,"Unknown")</f>
        <v>Keyboard</v>
      </c>
      <c r="K795" t="str">
        <f>_xlfn.XLOOKUP(tblOrders[[#This Row],[ProductID]],Products!$A$2:$A$9,Products!$C$2:$C$9,"Unknown")</f>
        <v>Accessories</v>
      </c>
      <c r="L795">
        <f>_xlfn.XLOOKUP(tblOrders[[#This Row],[ProductID]],Products!$A$2:$A$9,Products!$D$2:$D$9,0)</f>
        <v>600</v>
      </c>
      <c r="M795">
        <f>tblOrders[[#This Row],[Quantity]]*tblOrders[[#This Row],[UnitPrice]]*(1-tblOrders[[#This Row],[Discount]])</f>
        <v>5400</v>
      </c>
      <c r="N795">
        <f>tblOrders[[#This Row],[Quantity]]*tblOrders[[#This Row],[UnitCost]]</f>
        <v>3600</v>
      </c>
      <c r="O795">
        <f>tblOrders[[#This Row],[Revenue]]-tblOrders[[#This Row],[Cost]]</f>
        <v>1800</v>
      </c>
      <c r="P795" t="str">
        <f>TEXT(tblOrders[[#This Row],[OrderDate]],"mmm")</f>
        <v>May</v>
      </c>
    </row>
    <row r="796" spans="1:16" x14ac:dyDescent="0.25">
      <c r="A796" t="s">
        <v>511</v>
      </c>
      <c r="B796" s="2">
        <v>45862</v>
      </c>
      <c r="C796" t="s">
        <v>155</v>
      </c>
      <c r="D796" t="s">
        <v>21</v>
      </c>
      <c r="E796" t="s">
        <v>22</v>
      </c>
      <c r="F796" t="s">
        <v>23</v>
      </c>
      <c r="G796">
        <v>13</v>
      </c>
      <c r="H796">
        <v>900</v>
      </c>
      <c r="I796">
        <v>0</v>
      </c>
      <c r="J796" t="str">
        <f>_xlfn.XLOOKUP(tblOrders[[#This Row],[ProductID]],Products!$A$2:$A$9,Products!$B$2:$B$9,"Unknown")</f>
        <v>Keyboard</v>
      </c>
      <c r="K796" t="str">
        <f>_xlfn.XLOOKUP(tblOrders[[#This Row],[ProductID]],Products!$A$2:$A$9,Products!$C$2:$C$9,"Unknown")</f>
        <v>Accessories</v>
      </c>
      <c r="L796">
        <f>_xlfn.XLOOKUP(tblOrders[[#This Row],[ProductID]],Products!$A$2:$A$9,Products!$D$2:$D$9,0)</f>
        <v>600</v>
      </c>
      <c r="M796">
        <f>tblOrders[[#This Row],[Quantity]]*tblOrders[[#This Row],[UnitPrice]]*(1-tblOrders[[#This Row],[Discount]])</f>
        <v>11700</v>
      </c>
      <c r="N796">
        <f>tblOrders[[#This Row],[Quantity]]*tblOrders[[#This Row],[UnitCost]]</f>
        <v>7800</v>
      </c>
      <c r="O796">
        <f>tblOrders[[#This Row],[Revenue]]-tblOrders[[#This Row],[Cost]]</f>
        <v>3900</v>
      </c>
      <c r="P796" t="str">
        <f>TEXT(tblOrders[[#This Row],[OrderDate]],"mmm")</f>
        <v>Jul</v>
      </c>
    </row>
    <row r="797" spans="1:16" x14ac:dyDescent="0.25">
      <c r="A797" t="s">
        <v>482</v>
      </c>
      <c r="B797" s="2">
        <v>45877</v>
      </c>
      <c r="C797" t="s">
        <v>138</v>
      </c>
      <c r="D797" t="s">
        <v>11</v>
      </c>
      <c r="E797" t="s">
        <v>46</v>
      </c>
      <c r="F797" t="s">
        <v>18</v>
      </c>
      <c r="G797">
        <v>12</v>
      </c>
      <c r="H797">
        <v>18000</v>
      </c>
      <c r="I797">
        <v>0.05</v>
      </c>
      <c r="J797" t="str">
        <f>_xlfn.XLOOKUP(tblOrders[[#This Row],[ProductID]],Products!$A$2:$A$9,Products!$B$2:$B$9,"Unknown")</f>
        <v>Tablet</v>
      </c>
      <c r="K797" t="str">
        <f>_xlfn.XLOOKUP(tblOrders[[#This Row],[ProductID]],Products!$A$2:$A$9,Products!$C$2:$C$9,"Unknown")</f>
        <v>Electronics</v>
      </c>
      <c r="L797">
        <f>_xlfn.XLOOKUP(tblOrders[[#This Row],[ProductID]],Products!$A$2:$A$9,Products!$D$2:$D$9,0)</f>
        <v>13500</v>
      </c>
      <c r="M797">
        <f>tblOrders[[#This Row],[Quantity]]*tblOrders[[#This Row],[UnitPrice]]*(1-tblOrders[[#This Row],[Discount]])</f>
        <v>205200</v>
      </c>
      <c r="N797">
        <f>tblOrders[[#This Row],[Quantity]]*tblOrders[[#This Row],[UnitCost]]</f>
        <v>162000</v>
      </c>
      <c r="O797">
        <f>tblOrders[[#This Row],[Revenue]]-tblOrders[[#This Row],[Cost]]</f>
        <v>43200</v>
      </c>
      <c r="P797" t="str">
        <f>TEXT(tblOrders[[#This Row],[OrderDate]],"mmm")</f>
        <v>Aug</v>
      </c>
    </row>
    <row r="798" spans="1:16" x14ac:dyDescent="0.25">
      <c r="A798" t="s">
        <v>370</v>
      </c>
      <c r="B798" s="2">
        <v>45854</v>
      </c>
      <c r="C798" t="s">
        <v>90</v>
      </c>
      <c r="D798" t="s">
        <v>39</v>
      </c>
      <c r="E798" t="s">
        <v>40</v>
      </c>
      <c r="F798" t="s">
        <v>13</v>
      </c>
      <c r="G798">
        <v>3</v>
      </c>
      <c r="H798">
        <v>2000</v>
      </c>
      <c r="I798">
        <v>0.1</v>
      </c>
      <c r="J798" t="str">
        <f>_xlfn.XLOOKUP(tblOrders[[#This Row],[ProductID]],Products!$A$2:$A$9,Products!$B$2:$B$9,"Unknown")</f>
        <v>Headset</v>
      </c>
      <c r="K798" t="str">
        <f>_xlfn.XLOOKUP(tblOrders[[#This Row],[ProductID]],Products!$A$2:$A$9,Products!$C$2:$C$9,"Unknown")</f>
        <v>Accessories</v>
      </c>
      <c r="L798">
        <f>_xlfn.XLOOKUP(tblOrders[[#This Row],[ProductID]],Products!$A$2:$A$9,Products!$D$2:$D$9,0)</f>
        <v>1300</v>
      </c>
      <c r="M798">
        <f>tblOrders[[#This Row],[Quantity]]*tblOrders[[#This Row],[UnitPrice]]*(1-tblOrders[[#This Row],[Discount]])</f>
        <v>5400</v>
      </c>
      <c r="N798">
        <f>tblOrders[[#This Row],[Quantity]]*tblOrders[[#This Row],[UnitCost]]</f>
        <v>3900</v>
      </c>
      <c r="O798">
        <f>tblOrders[[#This Row],[Revenue]]-tblOrders[[#This Row],[Cost]]</f>
        <v>1500</v>
      </c>
      <c r="P798" t="str">
        <f>TEXT(tblOrders[[#This Row],[OrderDate]],"mmm")</f>
        <v>Jul</v>
      </c>
    </row>
    <row r="799" spans="1:16" x14ac:dyDescent="0.25">
      <c r="A799" t="s">
        <v>161</v>
      </c>
      <c r="B799" s="2">
        <v>45672</v>
      </c>
      <c r="C799" t="s">
        <v>162</v>
      </c>
      <c r="D799" t="s">
        <v>16</v>
      </c>
      <c r="E799" t="s">
        <v>17</v>
      </c>
      <c r="F799" t="s">
        <v>64</v>
      </c>
      <c r="G799">
        <v>7</v>
      </c>
      <c r="H799">
        <v>500</v>
      </c>
      <c r="I799">
        <v>0.1</v>
      </c>
      <c r="J799" t="str">
        <f>_xlfn.XLOOKUP(tblOrders[[#This Row],[ProductID]],Products!$A$2:$A$9,Products!$B$2:$B$9,"Unknown")</f>
        <v>Mouse</v>
      </c>
      <c r="K799" t="str">
        <f>_xlfn.XLOOKUP(tblOrders[[#This Row],[ProductID]],Products!$A$2:$A$9,Products!$C$2:$C$9,"Unknown")</f>
        <v>Accessories</v>
      </c>
      <c r="L799">
        <f>_xlfn.XLOOKUP(tblOrders[[#This Row],[ProductID]],Products!$A$2:$A$9,Products!$D$2:$D$9,0)</f>
        <v>320</v>
      </c>
      <c r="M799">
        <f>tblOrders[[#This Row],[Quantity]]*tblOrders[[#This Row],[UnitPrice]]*(1-tblOrders[[#This Row],[Discount]])</f>
        <v>3150</v>
      </c>
      <c r="N799">
        <f>tblOrders[[#This Row],[Quantity]]*tblOrders[[#This Row],[UnitCost]]</f>
        <v>2240</v>
      </c>
      <c r="O799">
        <f>tblOrders[[#This Row],[Revenue]]-tblOrders[[#This Row],[Cost]]</f>
        <v>910</v>
      </c>
      <c r="P799" t="str">
        <f>TEXT(tblOrders[[#This Row],[OrderDate]],"mmm")</f>
        <v>Jan</v>
      </c>
    </row>
    <row r="800" spans="1:16" x14ac:dyDescent="0.25">
      <c r="A800" t="s">
        <v>621</v>
      </c>
      <c r="B800" s="2">
        <v>45908</v>
      </c>
      <c r="C800" t="s">
        <v>158</v>
      </c>
      <c r="D800" t="s">
        <v>21</v>
      </c>
      <c r="E800" t="s">
        <v>22</v>
      </c>
      <c r="F800" t="s">
        <v>13</v>
      </c>
      <c r="G800">
        <v>1</v>
      </c>
      <c r="H800">
        <v>2000</v>
      </c>
      <c r="I800">
        <v>0.05</v>
      </c>
      <c r="J800" t="str">
        <f>_xlfn.XLOOKUP(tblOrders[[#This Row],[ProductID]],Products!$A$2:$A$9,Products!$B$2:$B$9,"Unknown")</f>
        <v>Headset</v>
      </c>
      <c r="K800" t="str">
        <f>_xlfn.XLOOKUP(tblOrders[[#This Row],[ProductID]],Products!$A$2:$A$9,Products!$C$2:$C$9,"Unknown")</f>
        <v>Accessories</v>
      </c>
      <c r="L800">
        <f>_xlfn.XLOOKUP(tblOrders[[#This Row],[ProductID]],Products!$A$2:$A$9,Products!$D$2:$D$9,0)</f>
        <v>1300</v>
      </c>
      <c r="M800">
        <f>tblOrders[[#This Row],[Quantity]]*tblOrders[[#This Row],[UnitPrice]]*(1-tblOrders[[#This Row],[Discount]])</f>
        <v>1900</v>
      </c>
      <c r="N800">
        <f>tblOrders[[#This Row],[Quantity]]*tblOrders[[#This Row],[UnitCost]]</f>
        <v>1300</v>
      </c>
      <c r="O800">
        <f>tblOrders[[#This Row],[Revenue]]-tblOrders[[#This Row],[Cost]]</f>
        <v>600</v>
      </c>
      <c r="P800" t="str">
        <f>TEXT(tblOrders[[#This Row],[OrderDate]],"mmm")</f>
        <v>Sep</v>
      </c>
    </row>
    <row r="801" spans="1:16" x14ac:dyDescent="0.25">
      <c r="A801" t="s">
        <v>590</v>
      </c>
      <c r="B801" s="2">
        <v>45981</v>
      </c>
      <c r="C801" t="s">
        <v>27</v>
      </c>
      <c r="D801" t="s">
        <v>21</v>
      </c>
      <c r="E801" t="s">
        <v>22</v>
      </c>
      <c r="F801" t="s">
        <v>69</v>
      </c>
      <c r="G801">
        <v>15</v>
      </c>
      <c r="H801">
        <v>12000</v>
      </c>
      <c r="I801">
        <v>0.15</v>
      </c>
      <c r="J801" t="str">
        <f>_xlfn.XLOOKUP(tblOrders[[#This Row],[ProductID]],Products!$A$2:$A$9,Products!$B$2:$B$9,"Unknown")</f>
        <v>Monitor</v>
      </c>
      <c r="K801" t="str">
        <f>_xlfn.XLOOKUP(tblOrders[[#This Row],[ProductID]],Products!$A$2:$A$9,Products!$C$2:$C$9,"Unknown")</f>
        <v>Electronics</v>
      </c>
      <c r="L801">
        <f>_xlfn.XLOOKUP(tblOrders[[#This Row],[ProductID]],Products!$A$2:$A$9,Products!$D$2:$D$9,0)</f>
        <v>9000</v>
      </c>
      <c r="M801">
        <f>tblOrders[[#This Row],[Quantity]]*tblOrders[[#This Row],[UnitPrice]]*(1-tblOrders[[#This Row],[Discount]])</f>
        <v>153000</v>
      </c>
      <c r="N801">
        <f>tblOrders[[#This Row],[Quantity]]*tblOrders[[#This Row],[UnitCost]]</f>
        <v>135000</v>
      </c>
      <c r="O801">
        <f>tblOrders[[#This Row],[Revenue]]-tblOrders[[#This Row],[Cost]]</f>
        <v>18000</v>
      </c>
      <c r="P801" t="str">
        <f>TEXT(tblOrders[[#This Row],[OrderDate]],"mmm")</f>
        <v>Nov</v>
      </c>
    </row>
    <row r="802" spans="1:16" x14ac:dyDescent="0.25">
      <c r="A802" t="s">
        <v>1065</v>
      </c>
      <c r="B802" s="2">
        <v>46009</v>
      </c>
      <c r="C802" t="s">
        <v>59</v>
      </c>
      <c r="D802" t="s">
        <v>11</v>
      </c>
      <c r="E802" t="s">
        <v>12</v>
      </c>
      <c r="F802" t="s">
        <v>13</v>
      </c>
      <c r="G802">
        <v>10</v>
      </c>
      <c r="H802">
        <v>2000</v>
      </c>
      <c r="I802">
        <v>0.15</v>
      </c>
      <c r="J802" t="str">
        <f>_xlfn.XLOOKUP(tblOrders[[#This Row],[ProductID]],Products!$A$2:$A$9,Products!$B$2:$B$9,"Unknown")</f>
        <v>Headset</v>
      </c>
      <c r="K802" t="str">
        <f>_xlfn.XLOOKUP(tblOrders[[#This Row],[ProductID]],Products!$A$2:$A$9,Products!$C$2:$C$9,"Unknown")</f>
        <v>Accessories</v>
      </c>
      <c r="L802">
        <f>_xlfn.XLOOKUP(tblOrders[[#This Row],[ProductID]],Products!$A$2:$A$9,Products!$D$2:$D$9,0)</f>
        <v>1300</v>
      </c>
      <c r="M802">
        <f>tblOrders[[#This Row],[Quantity]]*tblOrders[[#This Row],[UnitPrice]]*(1-tblOrders[[#This Row],[Discount]])</f>
        <v>17000</v>
      </c>
      <c r="N802">
        <f>tblOrders[[#This Row],[Quantity]]*tblOrders[[#This Row],[UnitCost]]</f>
        <v>13000</v>
      </c>
      <c r="O802">
        <f>tblOrders[[#This Row],[Revenue]]-tblOrders[[#This Row],[Cost]]</f>
        <v>4000</v>
      </c>
      <c r="P802" t="str">
        <f>TEXT(tblOrders[[#This Row],[OrderDate]],"mmm")</f>
        <v>Dec</v>
      </c>
    </row>
    <row r="803" spans="1:16" x14ac:dyDescent="0.25">
      <c r="A803" t="s">
        <v>180</v>
      </c>
      <c r="B803" s="2">
        <v>45797</v>
      </c>
      <c r="C803" t="s">
        <v>66</v>
      </c>
      <c r="D803" t="s">
        <v>16</v>
      </c>
      <c r="E803" t="s">
        <v>17</v>
      </c>
      <c r="F803" t="s">
        <v>64</v>
      </c>
      <c r="G803">
        <v>6</v>
      </c>
      <c r="H803">
        <v>500</v>
      </c>
      <c r="I803">
        <v>0</v>
      </c>
      <c r="J803" t="str">
        <f>_xlfn.XLOOKUP(tblOrders[[#This Row],[ProductID]],Products!$A$2:$A$9,Products!$B$2:$B$9,"Unknown")</f>
        <v>Mouse</v>
      </c>
      <c r="K803" t="str">
        <f>_xlfn.XLOOKUP(tblOrders[[#This Row],[ProductID]],Products!$A$2:$A$9,Products!$C$2:$C$9,"Unknown")</f>
        <v>Accessories</v>
      </c>
      <c r="L803">
        <f>_xlfn.XLOOKUP(tblOrders[[#This Row],[ProductID]],Products!$A$2:$A$9,Products!$D$2:$D$9,0)</f>
        <v>320</v>
      </c>
      <c r="M803">
        <f>tblOrders[[#This Row],[Quantity]]*tblOrders[[#This Row],[UnitPrice]]*(1-tblOrders[[#This Row],[Discount]])</f>
        <v>3000</v>
      </c>
      <c r="N803">
        <f>tblOrders[[#This Row],[Quantity]]*tblOrders[[#This Row],[UnitCost]]</f>
        <v>1920</v>
      </c>
      <c r="O803">
        <f>tblOrders[[#This Row],[Revenue]]-tblOrders[[#This Row],[Cost]]</f>
        <v>1080</v>
      </c>
      <c r="P803" t="str">
        <f>TEXT(tblOrders[[#This Row],[OrderDate]],"mmm")</f>
        <v>May</v>
      </c>
    </row>
    <row r="804" spans="1:16" x14ac:dyDescent="0.25">
      <c r="A804" t="s">
        <v>640</v>
      </c>
      <c r="B804" s="2">
        <v>45931</v>
      </c>
      <c r="C804" t="s">
        <v>20</v>
      </c>
      <c r="D804" t="s">
        <v>21</v>
      </c>
      <c r="E804" t="s">
        <v>28</v>
      </c>
      <c r="F804" t="s">
        <v>64</v>
      </c>
      <c r="G804">
        <v>11</v>
      </c>
      <c r="H804">
        <v>500</v>
      </c>
      <c r="I804">
        <v>0.15</v>
      </c>
      <c r="J804" t="str">
        <f>_xlfn.XLOOKUP(tblOrders[[#This Row],[ProductID]],Products!$A$2:$A$9,Products!$B$2:$B$9,"Unknown")</f>
        <v>Mouse</v>
      </c>
      <c r="K804" t="str">
        <f>_xlfn.XLOOKUP(tblOrders[[#This Row],[ProductID]],Products!$A$2:$A$9,Products!$C$2:$C$9,"Unknown")</f>
        <v>Accessories</v>
      </c>
      <c r="L804">
        <f>_xlfn.XLOOKUP(tblOrders[[#This Row],[ProductID]],Products!$A$2:$A$9,Products!$D$2:$D$9,0)</f>
        <v>320</v>
      </c>
      <c r="M804">
        <f>tblOrders[[#This Row],[Quantity]]*tblOrders[[#This Row],[UnitPrice]]*(1-tblOrders[[#This Row],[Discount]])</f>
        <v>4675</v>
      </c>
      <c r="N804">
        <f>tblOrders[[#This Row],[Quantity]]*tblOrders[[#This Row],[UnitCost]]</f>
        <v>3520</v>
      </c>
      <c r="O804">
        <f>tblOrders[[#This Row],[Revenue]]-tblOrders[[#This Row],[Cost]]</f>
        <v>1155</v>
      </c>
      <c r="P804" t="str">
        <f>TEXT(tblOrders[[#This Row],[OrderDate]],"mmm")</f>
        <v>Oct</v>
      </c>
    </row>
    <row r="805" spans="1:16" x14ac:dyDescent="0.25">
      <c r="A805" t="s">
        <v>174</v>
      </c>
      <c r="B805" s="2">
        <v>46011</v>
      </c>
      <c r="C805" t="s">
        <v>175</v>
      </c>
      <c r="D805" t="s">
        <v>21</v>
      </c>
      <c r="E805" t="s">
        <v>28</v>
      </c>
      <c r="F805" t="s">
        <v>34</v>
      </c>
      <c r="G805">
        <v>11</v>
      </c>
      <c r="H805">
        <v>55000</v>
      </c>
      <c r="I805">
        <v>0</v>
      </c>
      <c r="J805" t="str">
        <f>_xlfn.XLOOKUP(tblOrders[[#This Row],[ProductID]],Products!$A$2:$A$9,Products!$B$2:$B$9,"Unknown")</f>
        <v>Laptop</v>
      </c>
      <c r="K805" t="str">
        <f>_xlfn.XLOOKUP(tblOrders[[#This Row],[ProductID]],Products!$A$2:$A$9,Products!$C$2:$C$9,"Unknown")</f>
        <v>Electronics</v>
      </c>
      <c r="L805">
        <f>_xlfn.XLOOKUP(tblOrders[[#This Row],[ProductID]],Products!$A$2:$A$9,Products!$D$2:$D$9,0)</f>
        <v>41000</v>
      </c>
      <c r="M805">
        <f>tblOrders[[#This Row],[Quantity]]*tblOrders[[#This Row],[UnitPrice]]*(1-tblOrders[[#This Row],[Discount]])</f>
        <v>605000</v>
      </c>
      <c r="N805">
        <f>tblOrders[[#This Row],[Quantity]]*tblOrders[[#This Row],[UnitCost]]</f>
        <v>451000</v>
      </c>
      <c r="O805">
        <f>tblOrders[[#This Row],[Revenue]]-tblOrders[[#This Row],[Cost]]</f>
        <v>154000</v>
      </c>
      <c r="P805" t="str">
        <f>TEXT(tblOrders[[#This Row],[OrderDate]],"mmm")</f>
        <v>Dec</v>
      </c>
    </row>
    <row r="806" spans="1:16" x14ac:dyDescent="0.25">
      <c r="A806" t="s">
        <v>820</v>
      </c>
      <c r="B806" s="2">
        <v>45777</v>
      </c>
      <c r="C806" t="s">
        <v>261</v>
      </c>
      <c r="D806" t="s">
        <v>11</v>
      </c>
      <c r="E806" t="s">
        <v>46</v>
      </c>
      <c r="F806" t="s">
        <v>13</v>
      </c>
      <c r="G806">
        <v>5</v>
      </c>
      <c r="H806">
        <v>2000</v>
      </c>
      <c r="I806">
        <v>0.15</v>
      </c>
      <c r="J806" t="str">
        <f>_xlfn.XLOOKUP(tblOrders[[#This Row],[ProductID]],Products!$A$2:$A$9,Products!$B$2:$B$9,"Unknown")</f>
        <v>Headset</v>
      </c>
      <c r="K806" t="str">
        <f>_xlfn.XLOOKUP(tblOrders[[#This Row],[ProductID]],Products!$A$2:$A$9,Products!$C$2:$C$9,"Unknown")</f>
        <v>Accessories</v>
      </c>
      <c r="L806">
        <f>_xlfn.XLOOKUP(tblOrders[[#This Row],[ProductID]],Products!$A$2:$A$9,Products!$D$2:$D$9,0)</f>
        <v>1300</v>
      </c>
      <c r="M806">
        <f>tblOrders[[#This Row],[Quantity]]*tblOrders[[#This Row],[UnitPrice]]*(1-tblOrders[[#This Row],[Discount]])</f>
        <v>8500</v>
      </c>
      <c r="N806">
        <f>tblOrders[[#This Row],[Quantity]]*tblOrders[[#This Row],[UnitCost]]</f>
        <v>6500</v>
      </c>
      <c r="O806">
        <f>tblOrders[[#This Row],[Revenue]]-tblOrders[[#This Row],[Cost]]</f>
        <v>2000</v>
      </c>
      <c r="P806" t="str">
        <f>TEXT(tblOrders[[#This Row],[OrderDate]],"mmm")</f>
        <v>Apr</v>
      </c>
    </row>
    <row r="807" spans="1:16" x14ac:dyDescent="0.25">
      <c r="A807" t="s">
        <v>361</v>
      </c>
      <c r="B807" s="2">
        <v>45671</v>
      </c>
      <c r="C807" t="s">
        <v>50</v>
      </c>
      <c r="D807" t="s">
        <v>11</v>
      </c>
      <c r="E807" t="s">
        <v>12</v>
      </c>
      <c r="F807" t="s">
        <v>18</v>
      </c>
      <c r="G807">
        <v>15</v>
      </c>
      <c r="H807">
        <v>18000</v>
      </c>
      <c r="I807">
        <v>0.15</v>
      </c>
      <c r="J807" t="str">
        <f>_xlfn.XLOOKUP(tblOrders[[#This Row],[ProductID]],Products!$A$2:$A$9,Products!$B$2:$B$9,"Unknown")</f>
        <v>Tablet</v>
      </c>
      <c r="K807" t="str">
        <f>_xlfn.XLOOKUP(tblOrders[[#This Row],[ProductID]],Products!$A$2:$A$9,Products!$C$2:$C$9,"Unknown")</f>
        <v>Electronics</v>
      </c>
      <c r="L807">
        <f>_xlfn.XLOOKUP(tblOrders[[#This Row],[ProductID]],Products!$A$2:$A$9,Products!$D$2:$D$9,0)</f>
        <v>13500</v>
      </c>
      <c r="M807">
        <f>tblOrders[[#This Row],[Quantity]]*tblOrders[[#This Row],[UnitPrice]]*(1-tblOrders[[#This Row],[Discount]])</f>
        <v>229500</v>
      </c>
      <c r="N807">
        <f>tblOrders[[#This Row],[Quantity]]*tblOrders[[#This Row],[UnitCost]]</f>
        <v>202500</v>
      </c>
      <c r="O807">
        <f>tblOrders[[#This Row],[Revenue]]-tblOrders[[#This Row],[Cost]]</f>
        <v>27000</v>
      </c>
      <c r="P807" t="str">
        <f>TEXT(tblOrders[[#This Row],[OrderDate]],"mmm")</f>
        <v>Jan</v>
      </c>
    </row>
    <row r="808" spans="1:16" x14ac:dyDescent="0.25">
      <c r="A808" t="s">
        <v>833</v>
      </c>
      <c r="B808" s="2">
        <v>45849</v>
      </c>
      <c r="C808" t="s">
        <v>175</v>
      </c>
      <c r="D808" t="s">
        <v>16</v>
      </c>
      <c r="E808" t="s">
        <v>17</v>
      </c>
      <c r="F808" t="s">
        <v>34</v>
      </c>
      <c r="G808">
        <v>12</v>
      </c>
      <c r="H808">
        <v>55000</v>
      </c>
      <c r="I808">
        <v>0</v>
      </c>
      <c r="J808" t="str">
        <f>_xlfn.XLOOKUP(tblOrders[[#This Row],[ProductID]],Products!$A$2:$A$9,Products!$B$2:$B$9,"Unknown")</f>
        <v>Laptop</v>
      </c>
      <c r="K808" t="str">
        <f>_xlfn.XLOOKUP(tblOrders[[#This Row],[ProductID]],Products!$A$2:$A$9,Products!$C$2:$C$9,"Unknown")</f>
        <v>Electronics</v>
      </c>
      <c r="L808">
        <f>_xlfn.XLOOKUP(tblOrders[[#This Row],[ProductID]],Products!$A$2:$A$9,Products!$D$2:$D$9,0)</f>
        <v>41000</v>
      </c>
      <c r="M808">
        <f>tblOrders[[#This Row],[Quantity]]*tblOrders[[#This Row],[UnitPrice]]*(1-tblOrders[[#This Row],[Discount]])</f>
        <v>660000</v>
      </c>
      <c r="N808">
        <f>tblOrders[[#This Row],[Quantity]]*tblOrders[[#This Row],[UnitCost]]</f>
        <v>492000</v>
      </c>
      <c r="O808">
        <f>tblOrders[[#This Row],[Revenue]]-tblOrders[[#This Row],[Cost]]</f>
        <v>168000</v>
      </c>
      <c r="P808" t="str">
        <f>TEXT(tblOrders[[#This Row],[OrderDate]],"mmm")</f>
        <v>Jul</v>
      </c>
    </row>
    <row r="809" spans="1:16" x14ac:dyDescent="0.25">
      <c r="A809" t="s">
        <v>89</v>
      </c>
      <c r="B809" s="2">
        <v>45712</v>
      </c>
      <c r="C809" t="s">
        <v>90</v>
      </c>
      <c r="D809" t="s">
        <v>39</v>
      </c>
      <c r="E809" t="s">
        <v>76</v>
      </c>
      <c r="F809" t="s">
        <v>69</v>
      </c>
      <c r="G809">
        <v>12</v>
      </c>
      <c r="H809">
        <v>12000</v>
      </c>
      <c r="I809">
        <v>0</v>
      </c>
      <c r="J809" t="str">
        <f>_xlfn.XLOOKUP(tblOrders[[#This Row],[ProductID]],Products!$A$2:$A$9,Products!$B$2:$B$9,"Unknown")</f>
        <v>Monitor</v>
      </c>
      <c r="K809" t="str">
        <f>_xlfn.XLOOKUP(tblOrders[[#This Row],[ProductID]],Products!$A$2:$A$9,Products!$C$2:$C$9,"Unknown")</f>
        <v>Electronics</v>
      </c>
      <c r="L809">
        <f>_xlfn.XLOOKUP(tblOrders[[#This Row],[ProductID]],Products!$A$2:$A$9,Products!$D$2:$D$9,0)</f>
        <v>9000</v>
      </c>
      <c r="M809">
        <f>tblOrders[[#This Row],[Quantity]]*tblOrders[[#This Row],[UnitPrice]]*(1-tblOrders[[#This Row],[Discount]])</f>
        <v>144000</v>
      </c>
      <c r="N809">
        <f>tblOrders[[#This Row],[Quantity]]*tblOrders[[#This Row],[UnitCost]]</f>
        <v>108000</v>
      </c>
      <c r="O809">
        <f>tblOrders[[#This Row],[Revenue]]-tblOrders[[#This Row],[Cost]]</f>
        <v>36000</v>
      </c>
      <c r="P809" t="str">
        <f>TEXT(tblOrders[[#This Row],[OrderDate]],"mmm")</f>
        <v>Feb</v>
      </c>
    </row>
    <row r="810" spans="1:16" x14ac:dyDescent="0.25">
      <c r="A810" t="s">
        <v>163</v>
      </c>
      <c r="B810" s="2">
        <v>45881</v>
      </c>
      <c r="C810" t="s">
        <v>45</v>
      </c>
      <c r="D810" t="s">
        <v>11</v>
      </c>
      <c r="E810" t="s">
        <v>12</v>
      </c>
      <c r="F810" t="s">
        <v>23</v>
      </c>
      <c r="G810">
        <v>10</v>
      </c>
      <c r="H810">
        <v>900</v>
      </c>
      <c r="I810">
        <v>0</v>
      </c>
      <c r="J810" t="str">
        <f>_xlfn.XLOOKUP(tblOrders[[#This Row],[ProductID]],Products!$A$2:$A$9,Products!$B$2:$B$9,"Unknown")</f>
        <v>Keyboard</v>
      </c>
      <c r="K810" t="str">
        <f>_xlfn.XLOOKUP(tblOrders[[#This Row],[ProductID]],Products!$A$2:$A$9,Products!$C$2:$C$9,"Unknown")</f>
        <v>Accessories</v>
      </c>
      <c r="L810">
        <f>_xlfn.XLOOKUP(tblOrders[[#This Row],[ProductID]],Products!$A$2:$A$9,Products!$D$2:$D$9,0)</f>
        <v>600</v>
      </c>
      <c r="M810">
        <f>tblOrders[[#This Row],[Quantity]]*tblOrders[[#This Row],[UnitPrice]]*(1-tblOrders[[#This Row],[Discount]])</f>
        <v>9000</v>
      </c>
      <c r="N810">
        <f>tblOrders[[#This Row],[Quantity]]*tblOrders[[#This Row],[UnitCost]]</f>
        <v>6000</v>
      </c>
      <c r="O810">
        <f>tblOrders[[#This Row],[Revenue]]-tblOrders[[#This Row],[Cost]]</f>
        <v>3000</v>
      </c>
      <c r="P810" t="str">
        <f>TEXT(tblOrders[[#This Row],[OrderDate]],"mmm")</f>
        <v>Aug</v>
      </c>
    </row>
    <row r="811" spans="1:16" x14ac:dyDescent="0.25">
      <c r="A811" t="s">
        <v>873</v>
      </c>
      <c r="B811" s="2">
        <v>45745</v>
      </c>
      <c r="C811" t="s">
        <v>10</v>
      </c>
      <c r="D811" t="s">
        <v>39</v>
      </c>
      <c r="E811" t="s">
        <v>40</v>
      </c>
      <c r="F811" t="s">
        <v>43</v>
      </c>
      <c r="G811">
        <v>11</v>
      </c>
      <c r="H811">
        <v>1500</v>
      </c>
      <c r="I811">
        <v>0.1</v>
      </c>
      <c r="J811" t="str">
        <f>_xlfn.XLOOKUP(tblOrders[[#This Row],[ProductID]],Products!$A$2:$A$9,Products!$B$2:$B$9,"Unknown")</f>
        <v>Webcam</v>
      </c>
      <c r="K811" t="str">
        <f>_xlfn.XLOOKUP(tblOrders[[#This Row],[ProductID]],Products!$A$2:$A$9,Products!$C$2:$C$9,"Unknown")</f>
        <v>Accessories</v>
      </c>
      <c r="L811">
        <f>_xlfn.XLOOKUP(tblOrders[[#This Row],[ProductID]],Products!$A$2:$A$9,Products!$D$2:$D$9,0)</f>
        <v>980</v>
      </c>
      <c r="M811">
        <f>tblOrders[[#This Row],[Quantity]]*tblOrders[[#This Row],[UnitPrice]]*(1-tblOrders[[#This Row],[Discount]])</f>
        <v>14850</v>
      </c>
      <c r="N811">
        <f>tblOrders[[#This Row],[Quantity]]*tblOrders[[#This Row],[UnitCost]]</f>
        <v>10780</v>
      </c>
      <c r="O811">
        <f>tblOrders[[#This Row],[Revenue]]-tblOrders[[#This Row],[Cost]]</f>
        <v>4070</v>
      </c>
      <c r="P811" t="str">
        <f>TEXT(tblOrders[[#This Row],[OrderDate]],"mmm")</f>
        <v>Mar</v>
      </c>
    </row>
    <row r="812" spans="1:16" x14ac:dyDescent="0.25">
      <c r="A812" t="s">
        <v>774</v>
      </c>
      <c r="B812" s="2">
        <v>45808</v>
      </c>
      <c r="C812" t="s">
        <v>32</v>
      </c>
      <c r="D812" t="s">
        <v>21</v>
      </c>
      <c r="E812" t="s">
        <v>22</v>
      </c>
      <c r="F812" t="s">
        <v>13</v>
      </c>
      <c r="G812">
        <v>8</v>
      </c>
      <c r="H812">
        <v>2000</v>
      </c>
      <c r="I812">
        <v>0</v>
      </c>
      <c r="J812" t="str">
        <f>_xlfn.XLOOKUP(tblOrders[[#This Row],[ProductID]],Products!$A$2:$A$9,Products!$B$2:$B$9,"Unknown")</f>
        <v>Headset</v>
      </c>
      <c r="K812" t="str">
        <f>_xlfn.XLOOKUP(tblOrders[[#This Row],[ProductID]],Products!$A$2:$A$9,Products!$C$2:$C$9,"Unknown")</f>
        <v>Accessories</v>
      </c>
      <c r="L812">
        <f>_xlfn.XLOOKUP(tblOrders[[#This Row],[ProductID]],Products!$A$2:$A$9,Products!$D$2:$D$9,0)</f>
        <v>1300</v>
      </c>
      <c r="M812">
        <f>tblOrders[[#This Row],[Quantity]]*tblOrders[[#This Row],[UnitPrice]]*(1-tblOrders[[#This Row],[Discount]])</f>
        <v>16000</v>
      </c>
      <c r="N812">
        <f>tblOrders[[#This Row],[Quantity]]*tblOrders[[#This Row],[UnitCost]]</f>
        <v>10400</v>
      </c>
      <c r="O812">
        <f>tblOrders[[#This Row],[Revenue]]-tblOrders[[#This Row],[Cost]]</f>
        <v>5600</v>
      </c>
      <c r="P812" t="str">
        <f>TEXT(tblOrders[[#This Row],[OrderDate]],"mmm")</f>
        <v>May</v>
      </c>
    </row>
    <row r="813" spans="1:16" x14ac:dyDescent="0.25">
      <c r="A813" t="s">
        <v>216</v>
      </c>
      <c r="B813" s="2">
        <v>45819</v>
      </c>
      <c r="C813" t="s">
        <v>38</v>
      </c>
      <c r="D813" t="s">
        <v>16</v>
      </c>
      <c r="E813" t="s">
        <v>33</v>
      </c>
      <c r="F813" t="s">
        <v>64</v>
      </c>
      <c r="G813">
        <v>7</v>
      </c>
      <c r="H813">
        <v>500</v>
      </c>
      <c r="I813">
        <v>0.05</v>
      </c>
      <c r="J813" t="str">
        <f>_xlfn.XLOOKUP(tblOrders[[#This Row],[ProductID]],Products!$A$2:$A$9,Products!$B$2:$B$9,"Unknown")</f>
        <v>Mouse</v>
      </c>
      <c r="K813" t="str">
        <f>_xlfn.XLOOKUP(tblOrders[[#This Row],[ProductID]],Products!$A$2:$A$9,Products!$C$2:$C$9,"Unknown")</f>
        <v>Accessories</v>
      </c>
      <c r="L813">
        <f>_xlfn.XLOOKUP(tblOrders[[#This Row],[ProductID]],Products!$A$2:$A$9,Products!$D$2:$D$9,0)</f>
        <v>320</v>
      </c>
      <c r="M813">
        <f>tblOrders[[#This Row],[Quantity]]*tblOrders[[#This Row],[UnitPrice]]*(1-tblOrders[[#This Row],[Discount]])</f>
        <v>3325</v>
      </c>
      <c r="N813">
        <f>tblOrders[[#This Row],[Quantity]]*tblOrders[[#This Row],[UnitCost]]</f>
        <v>2240</v>
      </c>
      <c r="O813">
        <f>tblOrders[[#This Row],[Revenue]]-tblOrders[[#This Row],[Cost]]</f>
        <v>1085</v>
      </c>
      <c r="P813" t="str">
        <f>TEXT(tblOrders[[#This Row],[OrderDate]],"mmm")</f>
        <v>Jun</v>
      </c>
    </row>
    <row r="814" spans="1:16" x14ac:dyDescent="0.25">
      <c r="A814" t="s">
        <v>805</v>
      </c>
      <c r="B814" s="2">
        <v>45688</v>
      </c>
      <c r="C814" t="s">
        <v>105</v>
      </c>
      <c r="D814" t="s">
        <v>21</v>
      </c>
      <c r="E814" t="s">
        <v>22</v>
      </c>
      <c r="F814" t="s">
        <v>13</v>
      </c>
      <c r="G814">
        <v>13</v>
      </c>
      <c r="H814">
        <v>2000</v>
      </c>
      <c r="I814">
        <v>0</v>
      </c>
      <c r="J814" t="str">
        <f>_xlfn.XLOOKUP(tblOrders[[#This Row],[ProductID]],Products!$A$2:$A$9,Products!$B$2:$B$9,"Unknown")</f>
        <v>Headset</v>
      </c>
      <c r="K814" t="str">
        <f>_xlfn.XLOOKUP(tblOrders[[#This Row],[ProductID]],Products!$A$2:$A$9,Products!$C$2:$C$9,"Unknown")</f>
        <v>Accessories</v>
      </c>
      <c r="L814">
        <f>_xlfn.XLOOKUP(tblOrders[[#This Row],[ProductID]],Products!$A$2:$A$9,Products!$D$2:$D$9,0)</f>
        <v>1300</v>
      </c>
      <c r="M814">
        <f>tblOrders[[#This Row],[Quantity]]*tblOrders[[#This Row],[UnitPrice]]*(1-tblOrders[[#This Row],[Discount]])</f>
        <v>26000</v>
      </c>
      <c r="N814">
        <f>tblOrders[[#This Row],[Quantity]]*tblOrders[[#This Row],[UnitCost]]</f>
        <v>16900</v>
      </c>
      <c r="O814">
        <f>tblOrders[[#This Row],[Revenue]]-tblOrders[[#This Row],[Cost]]</f>
        <v>9100</v>
      </c>
      <c r="P814" t="str">
        <f>TEXT(tblOrders[[#This Row],[OrderDate]],"mmm")</f>
        <v>Jan</v>
      </c>
    </row>
    <row r="815" spans="1:16" x14ac:dyDescent="0.25">
      <c r="A815" t="s">
        <v>1025</v>
      </c>
      <c r="B815" s="2">
        <v>45934</v>
      </c>
      <c r="C815" t="s">
        <v>54</v>
      </c>
      <c r="D815" t="s">
        <v>21</v>
      </c>
      <c r="E815" t="s">
        <v>28</v>
      </c>
      <c r="F815" t="s">
        <v>13</v>
      </c>
      <c r="G815">
        <v>13</v>
      </c>
      <c r="H815">
        <v>2000</v>
      </c>
      <c r="I815">
        <v>0.1</v>
      </c>
      <c r="J815" t="str">
        <f>_xlfn.XLOOKUP(tblOrders[[#This Row],[ProductID]],Products!$A$2:$A$9,Products!$B$2:$B$9,"Unknown")</f>
        <v>Headset</v>
      </c>
      <c r="K815" t="str">
        <f>_xlfn.XLOOKUP(tblOrders[[#This Row],[ProductID]],Products!$A$2:$A$9,Products!$C$2:$C$9,"Unknown")</f>
        <v>Accessories</v>
      </c>
      <c r="L815">
        <f>_xlfn.XLOOKUP(tblOrders[[#This Row],[ProductID]],Products!$A$2:$A$9,Products!$D$2:$D$9,0)</f>
        <v>1300</v>
      </c>
      <c r="M815">
        <f>tblOrders[[#This Row],[Quantity]]*tblOrders[[#This Row],[UnitPrice]]*(1-tblOrders[[#This Row],[Discount]])</f>
        <v>23400</v>
      </c>
      <c r="N815">
        <f>tblOrders[[#This Row],[Quantity]]*tblOrders[[#This Row],[UnitCost]]</f>
        <v>16900</v>
      </c>
      <c r="O815">
        <f>tblOrders[[#This Row],[Revenue]]-tblOrders[[#This Row],[Cost]]</f>
        <v>6500</v>
      </c>
      <c r="P815" t="str">
        <f>TEXT(tblOrders[[#This Row],[OrderDate]],"mmm")</f>
        <v>Oct</v>
      </c>
    </row>
    <row r="816" spans="1:16" x14ac:dyDescent="0.25">
      <c r="A816" t="s">
        <v>857</v>
      </c>
      <c r="B816" s="2">
        <v>45707</v>
      </c>
      <c r="C816" t="s">
        <v>97</v>
      </c>
      <c r="D816" t="s">
        <v>16</v>
      </c>
      <c r="E816" t="s">
        <v>33</v>
      </c>
      <c r="F816" t="s">
        <v>43</v>
      </c>
      <c r="G816">
        <v>11</v>
      </c>
      <c r="H816">
        <v>1500</v>
      </c>
      <c r="I816">
        <v>0.15</v>
      </c>
      <c r="J816" t="str">
        <f>_xlfn.XLOOKUP(tblOrders[[#This Row],[ProductID]],Products!$A$2:$A$9,Products!$B$2:$B$9,"Unknown")</f>
        <v>Webcam</v>
      </c>
      <c r="K816" t="str">
        <f>_xlfn.XLOOKUP(tblOrders[[#This Row],[ProductID]],Products!$A$2:$A$9,Products!$C$2:$C$9,"Unknown")</f>
        <v>Accessories</v>
      </c>
      <c r="L816">
        <f>_xlfn.XLOOKUP(tblOrders[[#This Row],[ProductID]],Products!$A$2:$A$9,Products!$D$2:$D$9,0)</f>
        <v>980</v>
      </c>
      <c r="M816">
        <f>tblOrders[[#This Row],[Quantity]]*tblOrders[[#This Row],[UnitPrice]]*(1-tblOrders[[#This Row],[Discount]])</f>
        <v>14025</v>
      </c>
      <c r="N816">
        <f>tblOrders[[#This Row],[Quantity]]*tblOrders[[#This Row],[UnitCost]]</f>
        <v>10780</v>
      </c>
      <c r="O816">
        <f>tblOrders[[#This Row],[Revenue]]-tblOrders[[#This Row],[Cost]]</f>
        <v>3245</v>
      </c>
      <c r="P816" t="str">
        <f>TEXT(tblOrders[[#This Row],[OrderDate]],"mmm")</f>
        <v>Feb</v>
      </c>
    </row>
    <row r="817" spans="1:16" x14ac:dyDescent="0.25">
      <c r="A817" t="s">
        <v>663</v>
      </c>
      <c r="B817" s="2">
        <v>45908</v>
      </c>
      <c r="C817" t="s">
        <v>238</v>
      </c>
      <c r="D817" t="s">
        <v>39</v>
      </c>
      <c r="E817" t="s">
        <v>40</v>
      </c>
      <c r="F817" t="s">
        <v>55</v>
      </c>
      <c r="G817">
        <v>9</v>
      </c>
      <c r="H817">
        <v>8000</v>
      </c>
      <c r="I817">
        <v>0</v>
      </c>
      <c r="J817" t="str">
        <f>_xlfn.XLOOKUP(tblOrders[[#This Row],[ProductID]],Products!$A$2:$A$9,Products!$B$2:$B$9,"Unknown")</f>
        <v>Printer</v>
      </c>
      <c r="K817" t="str">
        <f>_xlfn.XLOOKUP(tblOrders[[#This Row],[ProductID]],Products!$A$2:$A$9,Products!$C$2:$C$9,"Unknown")</f>
        <v>Electronics</v>
      </c>
      <c r="L817">
        <f>_xlfn.XLOOKUP(tblOrders[[#This Row],[ProductID]],Products!$A$2:$A$9,Products!$D$2:$D$9,0)</f>
        <v>6200</v>
      </c>
      <c r="M817">
        <f>tblOrders[[#This Row],[Quantity]]*tblOrders[[#This Row],[UnitPrice]]*(1-tblOrders[[#This Row],[Discount]])</f>
        <v>72000</v>
      </c>
      <c r="N817">
        <f>tblOrders[[#This Row],[Quantity]]*tblOrders[[#This Row],[UnitCost]]</f>
        <v>55800</v>
      </c>
      <c r="O817">
        <f>tblOrders[[#This Row],[Revenue]]-tblOrders[[#This Row],[Cost]]</f>
        <v>16200</v>
      </c>
      <c r="P817" t="str">
        <f>TEXT(tblOrders[[#This Row],[OrderDate]],"mmm")</f>
        <v>Sep</v>
      </c>
    </row>
    <row r="818" spans="1:16" x14ac:dyDescent="0.25">
      <c r="A818" t="s">
        <v>134</v>
      </c>
      <c r="B818" s="2">
        <v>45977</v>
      </c>
      <c r="C818" t="s">
        <v>135</v>
      </c>
      <c r="D818" t="s">
        <v>11</v>
      </c>
      <c r="E818" t="s">
        <v>46</v>
      </c>
      <c r="F818" t="s">
        <v>43</v>
      </c>
      <c r="G818">
        <v>13</v>
      </c>
      <c r="H818">
        <v>1500</v>
      </c>
      <c r="I818">
        <v>0.1</v>
      </c>
      <c r="J818" t="str">
        <f>_xlfn.XLOOKUP(tblOrders[[#This Row],[ProductID]],Products!$A$2:$A$9,Products!$B$2:$B$9,"Unknown")</f>
        <v>Webcam</v>
      </c>
      <c r="K818" t="str">
        <f>_xlfn.XLOOKUP(tblOrders[[#This Row],[ProductID]],Products!$A$2:$A$9,Products!$C$2:$C$9,"Unknown")</f>
        <v>Accessories</v>
      </c>
      <c r="L818">
        <f>_xlfn.XLOOKUP(tblOrders[[#This Row],[ProductID]],Products!$A$2:$A$9,Products!$D$2:$D$9,0)</f>
        <v>980</v>
      </c>
      <c r="M818">
        <f>tblOrders[[#This Row],[Quantity]]*tblOrders[[#This Row],[UnitPrice]]*(1-tblOrders[[#This Row],[Discount]])</f>
        <v>17550</v>
      </c>
      <c r="N818">
        <f>tblOrders[[#This Row],[Quantity]]*tblOrders[[#This Row],[UnitCost]]</f>
        <v>12740</v>
      </c>
      <c r="O818">
        <f>tblOrders[[#This Row],[Revenue]]-tblOrders[[#This Row],[Cost]]</f>
        <v>4810</v>
      </c>
      <c r="P818" t="str">
        <f>TEXT(tblOrders[[#This Row],[OrderDate]],"mmm")</f>
        <v>Nov</v>
      </c>
    </row>
    <row r="819" spans="1:16" x14ac:dyDescent="0.25">
      <c r="A819" t="s">
        <v>227</v>
      </c>
      <c r="B819" s="2">
        <v>45852</v>
      </c>
      <c r="C819" t="s">
        <v>90</v>
      </c>
      <c r="D819" t="s">
        <v>39</v>
      </c>
      <c r="E819" t="s">
        <v>40</v>
      </c>
      <c r="F819" t="s">
        <v>43</v>
      </c>
      <c r="G819">
        <v>1</v>
      </c>
      <c r="H819">
        <v>1500</v>
      </c>
      <c r="I819">
        <v>0.15</v>
      </c>
      <c r="J819" t="str">
        <f>_xlfn.XLOOKUP(tblOrders[[#This Row],[ProductID]],Products!$A$2:$A$9,Products!$B$2:$B$9,"Unknown")</f>
        <v>Webcam</v>
      </c>
      <c r="K819" t="str">
        <f>_xlfn.XLOOKUP(tblOrders[[#This Row],[ProductID]],Products!$A$2:$A$9,Products!$C$2:$C$9,"Unknown")</f>
        <v>Accessories</v>
      </c>
      <c r="L819">
        <f>_xlfn.XLOOKUP(tblOrders[[#This Row],[ProductID]],Products!$A$2:$A$9,Products!$D$2:$D$9,0)</f>
        <v>980</v>
      </c>
      <c r="M819">
        <f>tblOrders[[#This Row],[Quantity]]*tblOrders[[#This Row],[UnitPrice]]*(1-tblOrders[[#This Row],[Discount]])</f>
        <v>1275</v>
      </c>
      <c r="N819">
        <f>tblOrders[[#This Row],[Quantity]]*tblOrders[[#This Row],[UnitCost]]</f>
        <v>980</v>
      </c>
      <c r="O819">
        <f>tblOrders[[#This Row],[Revenue]]-tblOrders[[#This Row],[Cost]]</f>
        <v>295</v>
      </c>
      <c r="P819" t="str">
        <f>TEXT(tblOrders[[#This Row],[OrderDate]],"mmm")</f>
        <v>Jul</v>
      </c>
    </row>
    <row r="820" spans="1:16" x14ac:dyDescent="0.25">
      <c r="A820" t="s">
        <v>1036</v>
      </c>
      <c r="B820" s="2">
        <v>45796</v>
      </c>
      <c r="C820" t="s">
        <v>115</v>
      </c>
      <c r="D820" t="s">
        <v>11</v>
      </c>
      <c r="E820" t="s">
        <v>46</v>
      </c>
      <c r="F820" t="s">
        <v>18</v>
      </c>
      <c r="G820">
        <v>9</v>
      </c>
      <c r="H820">
        <v>18000</v>
      </c>
      <c r="I820">
        <v>0.1</v>
      </c>
      <c r="J820" t="str">
        <f>_xlfn.XLOOKUP(tblOrders[[#This Row],[ProductID]],Products!$A$2:$A$9,Products!$B$2:$B$9,"Unknown")</f>
        <v>Tablet</v>
      </c>
      <c r="K820" t="str">
        <f>_xlfn.XLOOKUP(tblOrders[[#This Row],[ProductID]],Products!$A$2:$A$9,Products!$C$2:$C$9,"Unknown")</f>
        <v>Electronics</v>
      </c>
      <c r="L820">
        <f>_xlfn.XLOOKUP(tblOrders[[#This Row],[ProductID]],Products!$A$2:$A$9,Products!$D$2:$D$9,0)</f>
        <v>13500</v>
      </c>
      <c r="M820">
        <f>tblOrders[[#This Row],[Quantity]]*tblOrders[[#This Row],[UnitPrice]]*(1-tblOrders[[#This Row],[Discount]])</f>
        <v>145800</v>
      </c>
      <c r="N820">
        <f>tblOrders[[#This Row],[Quantity]]*tblOrders[[#This Row],[UnitCost]]</f>
        <v>121500</v>
      </c>
      <c r="O820">
        <f>tblOrders[[#This Row],[Revenue]]-tblOrders[[#This Row],[Cost]]</f>
        <v>24300</v>
      </c>
      <c r="P820" t="str">
        <f>TEXT(tblOrders[[#This Row],[OrderDate]],"mmm")</f>
        <v>May</v>
      </c>
    </row>
    <row r="821" spans="1:16" x14ac:dyDescent="0.25">
      <c r="A821" t="s">
        <v>655</v>
      </c>
      <c r="B821" s="2">
        <v>45698</v>
      </c>
      <c r="C821" t="s">
        <v>136</v>
      </c>
      <c r="D821" t="s">
        <v>21</v>
      </c>
      <c r="E821" t="s">
        <v>28</v>
      </c>
      <c r="F821" t="s">
        <v>43</v>
      </c>
      <c r="G821">
        <v>5</v>
      </c>
      <c r="H821">
        <v>1500</v>
      </c>
      <c r="I821">
        <v>0.1</v>
      </c>
      <c r="J821" t="str">
        <f>_xlfn.XLOOKUP(tblOrders[[#This Row],[ProductID]],Products!$A$2:$A$9,Products!$B$2:$B$9,"Unknown")</f>
        <v>Webcam</v>
      </c>
      <c r="K821" t="str">
        <f>_xlfn.XLOOKUP(tblOrders[[#This Row],[ProductID]],Products!$A$2:$A$9,Products!$C$2:$C$9,"Unknown")</f>
        <v>Accessories</v>
      </c>
      <c r="L821">
        <f>_xlfn.XLOOKUP(tblOrders[[#This Row],[ProductID]],Products!$A$2:$A$9,Products!$D$2:$D$9,0)</f>
        <v>980</v>
      </c>
      <c r="M821">
        <f>tblOrders[[#This Row],[Quantity]]*tblOrders[[#This Row],[UnitPrice]]*(1-tblOrders[[#This Row],[Discount]])</f>
        <v>6750</v>
      </c>
      <c r="N821">
        <f>tblOrders[[#This Row],[Quantity]]*tblOrders[[#This Row],[UnitCost]]</f>
        <v>4900</v>
      </c>
      <c r="O821">
        <f>tblOrders[[#This Row],[Revenue]]-tblOrders[[#This Row],[Cost]]</f>
        <v>1850</v>
      </c>
      <c r="P821" t="str">
        <f>TEXT(tblOrders[[#This Row],[OrderDate]],"mmm")</f>
        <v>Feb</v>
      </c>
    </row>
    <row r="822" spans="1:16" x14ac:dyDescent="0.25">
      <c r="A822" t="s">
        <v>306</v>
      </c>
      <c r="B822" s="2">
        <v>45749</v>
      </c>
      <c r="C822" t="s">
        <v>195</v>
      </c>
      <c r="D822" t="s">
        <v>16</v>
      </c>
      <c r="E822" t="s">
        <v>17</v>
      </c>
      <c r="F822" t="s">
        <v>55</v>
      </c>
      <c r="G822">
        <v>15</v>
      </c>
      <c r="H822">
        <v>8000</v>
      </c>
      <c r="I822">
        <v>0.05</v>
      </c>
      <c r="J822" t="str">
        <f>_xlfn.XLOOKUP(tblOrders[[#This Row],[ProductID]],Products!$A$2:$A$9,Products!$B$2:$B$9,"Unknown")</f>
        <v>Printer</v>
      </c>
      <c r="K822" t="str">
        <f>_xlfn.XLOOKUP(tblOrders[[#This Row],[ProductID]],Products!$A$2:$A$9,Products!$C$2:$C$9,"Unknown")</f>
        <v>Electronics</v>
      </c>
      <c r="L822">
        <f>_xlfn.XLOOKUP(tblOrders[[#This Row],[ProductID]],Products!$A$2:$A$9,Products!$D$2:$D$9,0)</f>
        <v>6200</v>
      </c>
      <c r="M822">
        <f>tblOrders[[#This Row],[Quantity]]*tblOrders[[#This Row],[UnitPrice]]*(1-tblOrders[[#This Row],[Discount]])</f>
        <v>114000</v>
      </c>
      <c r="N822">
        <f>tblOrders[[#This Row],[Quantity]]*tblOrders[[#This Row],[UnitCost]]</f>
        <v>93000</v>
      </c>
      <c r="O822">
        <f>tblOrders[[#This Row],[Revenue]]-tblOrders[[#This Row],[Cost]]</f>
        <v>21000</v>
      </c>
      <c r="P822" t="str">
        <f>TEXT(tblOrders[[#This Row],[OrderDate]],"mmm")</f>
        <v>Apr</v>
      </c>
    </row>
    <row r="823" spans="1:16" x14ac:dyDescent="0.25">
      <c r="A823" t="s">
        <v>209</v>
      </c>
      <c r="B823" s="2">
        <v>45972</v>
      </c>
      <c r="C823" t="s">
        <v>144</v>
      </c>
      <c r="D823" t="s">
        <v>39</v>
      </c>
      <c r="E823" t="s">
        <v>40</v>
      </c>
      <c r="F823" t="s">
        <v>69</v>
      </c>
      <c r="G823">
        <v>8</v>
      </c>
      <c r="H823">
        <v>12000</v>
      </c>
      <c r="I823">
        <v>0</v>
      </c>
      <c r="J823" t="str">
        <f>_xlfn.XLOOKUP(tblOrders[[#This Row],[ProductID]],Products!$A$2:$A$9,Products!$B$2:$B$9,"Unknown")</f>
        <v>Monitor</v>
      </c>
      <c r="K823" t="str">
        <f>_xlfn.XLOOKUP(tblOrders[[#This Row],[ProductID]],Products!$A$2:$A$9,Products!$C$2:$C$9,"Unknown")</f>
        <v>Electronics</v>
      </c>
      <c r="L823">
        <f>_xlfn.XLOOKUP(tblOrders[[#This Row],[ProductID]],Products!$A$2:$A$9,Products!$D$2:$D$9,0)</f>
        <v>9000</v>
      </c>
      <c r="M823">
        <f>tblOrders[[#This Row],[Quantity]]*tblOrders[[#This Row],[UnitPrice]]*(1-tblOrders[[#This Row],[Discount]])</f>
        <v>96000</v>
      </c>
      <c r="N823">
        <f>tblOrders[[#This Row],[Quantity]]*tblOrders[[#This Row],[UnitCost]]</f>
        <v>72000</v>
      </c>
      <c r="O823">
        <f>tblOrders[[#This Row],[Revenue]]-tblOrders[[#This Row],[Cost]]</f>
        <v>24000</v>
      </c>
      <c r="P823" t="str">
        <f>TEXT(tblOrders[[#This Row],[OrderDate]],"mmm")</f>
        <v>Nov</v>
      </c>
    </row>
    <row r="824" spans="1:16" x14ac:dyDescent="0.25">
      <c r="A824" t="s">
        <v>848</v>
      </c>
      <c r="B824" s="2">
        <v>45893</v>
      </c>
      <c r="C824" t="s">
        <v>50</v>
      </c>
      <c r="D824" t="s">
        <v>11</v>
      </c>
      <c r="E824" t="s">
        <v>12</v>
      </c>
      <c r="F824" t="s">
        <v>69</v>
      </c>
      <c r="G824">
        <v>8</v>
      </c>
      <c r="H824">
        <v>12000</v>
      </c>
      <c r="I824">
        <v>0</v>
      </c>
      <c r="J824" t="str">
        <f>_xlfn.XLOOKUP(tblOrders[[#This Row],[ProductID]],Products!$A$2:$A$9,Products!$B$2:$B$9,"Unknown")</f>
        <v>Monitor</v>
      </c>
      <c r="K824" t="str">
        <f>_xlfn.XLOOKUP(tblOrders[[#This Row],[ProductID]],Products!$A$2:$A$9,Products!$C$2:$C$9,"Unknown")</f>
        <v>Electronics</v>
      </c>
      <c r="L824">
        <f>_xlfn.XLOOKUP(tblOrders[[#This Row],[ProductID]],Products!$A$2:$A$9,Products!$D$2:$D$9,0)</f>
        <v>9000</v>
      </c>
      <c r="M824">
        <f>tblOrders[[#This Row],[Quantity]]*tblOrders[[#This Row],[UnitPrice]]*(1-tblOrders[[#This Row],[Discount]])</f>
        <v>96000</v>
      </c>
      <c r="N824">
        <f>tblOrders[[#This Row],[Quantity]]*tblOrders[[#This Row],[UnitCost]]</f>
        <v>72000</v>
      </c>
      <c r="O824">
        <f>tblOrders[[#This Row],[Revenue]]-tblOrders[[#This Row],[Cost]]</f>
        <v>24000</v>
      </c>
      <c r="P824" t="str">
        <f>TEXT(tblOrders[[#This Row],[OrderDate]],"mmm")</f>
        <v>Aug</v>
      </c>
    </row>
    <row r="825" spans="1:16" x14ac:dyDescent="0.25">
      <c r="A825" t="s">
        <v>739</v>
      </c>
      <c r="B825" s="2">
        <v>45743</v>
      </c>
      <c r="C825" t="s">
        <v>136</v>
      </c>
      <c r="D825" t="s">
        <v>16</v>
      </c>
      <c r="E825" t="s">
        <v>17</v>
      </c>
      <c r="F825" t="s">
        <v>34</v>
      </c>
      <c r="G825">
        <v>15</v>
      </c>
      <c r="H825">
        <v>55000</v>
      </c>
      <c r="I825">
        <v>0.15</v>
      </c>
      <c r="J825" t="str">
        <f>_xlfn.XLOOKUP(tblOrders[[#This Row],[ProductID]],Products!$A$2:$A$9,Products!$B$2:$B$9,"Unknown")</f>
        <v>Laptop</v>
      </c>
      <c r="K825" t="str">
        <f>_xlfn.XLOOKUP(tblOrders[[#This Row],[ProductID]],Products!$A$2:$A$9,Products!$C$2:$C$9,"Unknown")</f>
        <v>Electronics</v>
      </c>
      <c r="L825">
        <f>_xlfn.XLOOKUP(tblOrders[[#This Row],[ProductID]],Products!$A$2:$A$9,Products!$D$2:$D$9,0)</f>
        <v>41000</v>
      </c>
      <c r="M825">
        <f>tblOrders[[#This Row],[Quantity]]*tblOrders[[#This Row],[UnitPrice]]*(1-tblOrders[[#This Row],[Discount]])</f>
        <v>701250</v>
      </c>
      <c r="N825">
        <f>tblOrders[[#This Row],[Quantity]]*tblOrders[[#This Row],[UnitCost]]</f>
        <v>615000</v>
      </c>
      <c r="O825">
        <f>tblOrders[[#This Row],[Revenue]]-tblOrders[[#This Row],[Cost]]</f>
        <v>86250</v>
      </c>
      <c r="P825" t="str">
        <f>TEXT(tblOrders[[#This Row],[OrderDate]],"mmm")</f>
        <v>Mar</v>
      </c>
    </row>
    <row r="826" spans="1:16" x14ac:dyDescent="0.25">
      <c r="A826" t="s">
        <v>684</v>
      </c>
      <c r="B826" s="2">
        <v>45786</v>
      </c>
      <c r="C826" t="s">
        <v>52</v>
      </c>
      <c r="D826" t="s">
        <v>39</v>
      </c>
      <c r="E826" t="s">
        <v>76</v>
      </c>
      <c r="F826" t="s">
        <v>43</v>
      </c>
      <c r="G826">
        <v>3</v>
      </c>
      <c r="H826">
        <v>1500</v>
      </c>
      <c r="I826">
        <v>0</v>
      </c>
      <c r="J826" t="str">
        <f>_xlfn.XLOOKUP(tblOrders[[#This Row],[ProductID]],Products!$A$2:$A$9,Products!$B$2:$B$9,"Unknown")</f>
        <v>Webcam</v>
      </c>
      <c r="K826" t="str">
        <f>_xlfn.XLOOKUP(tblOrders[[#This Row],[ProductID]],Products!$A$2:$A$9,Products!$C$2:$C$9,"Unknown")</f>
        <v>Accessories</v>
      </c>
      <c r="L826">
        <f>_xlfn.XLOOKUP(tblOrders[[#This Row],[ProductID]],Products!$A$2:$A$9,Products!$D$2:$D$9,0)</f>
        <v>980</v>
      </c>
      <c r="M826">
        <f>tblOrders[[#This Row],[Quantity]]*tblOrders[[#This Row],[UnitPrice]]*(1-tblOrders[[#This Row],[Discount]])</f>
        <v>4500</v>
      </c>
      <c r="N826">
        <f>tblOrders[[#This Row],[Quantity]]*tblOrders[[#This Row],[UnitCost]]</f>
        <v>2940</v>
      </c>
      <c r="O826">
        <f>tblOrders[[#This Row],[Revenue]]-tblOrders[[#This Row],[Cost]]</f>
        <v>1560</v>
      </c>
      <c r="P826" t="str">
        <f>TEXT(tblOrders[[#This Row],[OrderDate]],"mmm")</f>
        <v>May</v>
      </c>
    </row>
    <row r="827" spans="1:16" x14ac:dyDescent="0.25">
      <c r="A827" t="s">
        <v>657</v>
      </c>
      <c r="B827" s="2">
        <v>46016</v>
      </c>
      <c r="C827" t="s">
        <v>99</v>
      </c>
      <c r="D827" t="s">
        <v>16</v>
      </c>
      <c r="E827" t="s">
        <v>17</v>
      </c>
      <c r="F827" t="s">
        <v>18</v>
      </c>
      <c r="G827">
        <v>5</v>
      </c>
      <c r="H827">
        <v>18000</v>
      </c>
      <c r="I827">
        <v>0.15</v>
      </c>
      <c r="J827" t="str">
        <f>_xlfn.XLOOKUP(tblOrders[[#This Row],[ProductID]],Products!$A$2:$A$9,Products!$B$2:$B$9,"Unknown")</f>
        <v>Tablet</v>
      </c>
      <c r="K827" t="str">
        <f>_xlfn.XLOOKUP(tblOrders[[#This Row],[ProductID]],Products!$A$2:$A$9,Products!$C$2:$C$9,"Unknown")</f>
        <v>Electronics</v>
      </c>
      <c r="L827">
        <f>_xlfn.XLOOKUP(tblOrders[[#This Row],[ProductID]],Products!$A$2:$A$9,Products!$D$2:$D$9,0)</f>
        <v>13500</v>
      </c>
      <c r="M827">
        <f>tblOrders[[#This Row],[Quantity]]*tblOrders[[#This Row],[UnitPrice]]*(1-tblOrders[[#This Row],[Discount]])</f>
        <v>76500</v>
      </c>
      <c r="N827">
        <f>tblOrders[[#This Row],[Quantity]]*tblOrders[[#This Row],[UnitCost]]</f>
        <v>67500</v>
      </c>
      <c r="O827">
        <f>tblOrders[[#This Row],[Revenue]]-tblOrders[[#This Row],[Cost]]</f>
        <v>9000</v>
      </c>
      <c r="P827" t="str">
        <f>TEXT(tblOrders[[#This Row],[OrderDate]],"mmm")</f>
        <v>Dec</v>
      </c>
    </row>
    <row r="828" spans="1:16" x14ac:dyDescent="0.25">
      <c r="A828" t="s">
        <v>736</v>
      </c>
      <c r="B828" s="2">
        <v>45717</v>
      </c>
      <c r="C828" t="s">
        <v>63</v>
      </c>
      <c r="D828" t="s">
        <v>11</v>
      </c>
      <c r="E828" t="s">
        <v>12</v>
      </c>
      <c r="F828" t="s">
        <v>23</v>
      </c>
      <c r="G828">
        <v>3</v>
      </c>
      <c r="H828">
        <v>900</v>
      </c>
      <c r="I828">
        <v>0</v>
      </c>
      <c r="J828" t="str">
        <f>_xlfn.XLOOKUP(tblOrders[[#This Row],[ProductID]],Products!$A$2:$A$9,Products!$B$2:$B$9,"Unknown")</f>
        <v>Keyboard</v>
      </c>
      <c r="K828" t="str">
        <f>_xlfn.XLOOKUP(tblOrders[[#This Row],[ProductID]],Products!$A$2:$A$9,Products!$C$2:$C$9,"Unknown")</f>
        <v>Accessories</v>
      </c>
      <c r="L828">
        <f>_xlfn.XLOOKUP(tblOrders[[#This Row],[ProductID]],Products!$A$2:$A$9,Products!$D$2:$D$9,0)</f>
        <v>600</v>
      </c>
      <c r="M828">
        <f>tblOrders[[#This Row],[Quantity]]*tblOrders[[#This Row],[UnitPrice]]*(1-tblOrders[[#This Row],[Discount]])</f>
        <v>2700</v>
      </c>
      <c r="N828">
        <f>tblOrders[[#This Row],[Quantity]]*tblOrders[[#This Row],[UnitCost]]</f>
        <v>1800</v>
      </c>
      <c r="O828">
        <f>tblOrders[[#This Row],[Revenue]]-tblOrders[[#This Row],[Cost]]</f>
        <v>900</v>
      </c>
      <c r="P828" t="str">
        <f>TEXT(tblOrders[[#This Row],[OrderDate]],"mmm")</f>
        <v>Mar</v>
      </c>
    </row>
    <row r="829" spans="1:16" x14ac:dyDescent="0.25">
      <c r="A829" t="s">
        <v>591</v>
      </c>
      <c r="B829" s="2">
        <v>45983</v>
      </c>
      <c r="C829" t="s">
        <v>71</v>
      </c>
      <c r="D829" t="s">
        <v>21</v>
      </c>
      <c r="E829" t="s">
        <v>22</v>
      </c>
      <c r="F829" t="s">
        <v>64</v>
      </c>
      <c r="G829">
        <v>12</v>
      </c>
      <c r="H829">
        <v>500</v>
      </c>
      <c r="I829">
        <v>0.15</v>
      </c>
      <c r="J829" t="str">
        <f>_xlfn.XLOOKUP(tblOrders[[#This Row],[ProductID]],Products!$A$2:$A$9,Products!$B$2:$B$9,"Unknown")</f>
        <v>Mouse</v>
      </c>
      <c r="K829" t="str">
        <f>_xlfn.XLOOKUP(tblOrders[[#This Row],[ProductID]],Products!$A$2:$A$9,Products!$C$2:$C$9,"Unknown")</f>
        <v>Accessories</v>
      </c>
      <c r="L829">
        <f>_xlfn.XLOOKUP(tblOrders[[#This Row],[ProductID]],Products!$A$2:$A$9,Products!$D$2:$D$9,0)</f>
        <v>320</v>
      </c>
      <c r="M829">
        <f>tblOrders[[#This Row],[Quantity]]*tblOrders[[#This Row],[UnitPrice]]*(1-tblOrders[[#This Row],[Discount]])</f>
        <v>5100</v>
      </c>
      <c r="N829">
        <f>tblOrders[[#This Row],[Quantity]]*tblOrders[[#This Row],[UnitCost]]</f>
        <v>3840</v>
      </c>
      <c r="O829">
        <f>tblOrders[[#This Row],[Revenue]]-tblOrders[[#This Row],[Cost]]</f>
        <v>1260</v>
      </c>
      <c r="P829" t="str">
        <f>TEXT(tblOrders[[#This Row],[OrderDate]],"mmm")</f>
        <v>Nov</v>
      </c>
    </row>
    <row r="830" spans="1:16" x14ac:dyDescent="0.25">
      <c r="A830" t="s">
        <v>169</v>
      </c>
      <c r="B830" s="2">
        <v>45980</v>
      </c>
      <c r="C830" t="s">
        <v>48</v>
      </c>
      <c r="D830" t="s">
        <v>21</v>
      </c>
      <c r="E830" t="s">
        <v>22</v>
      </c>
      <c r="F830" t="s">
        <v>13</v>
      </c>
      <c r="G830">
        <v>7</v>
      </c>
      <c r="H830">
        <v>2000</v>
      </c>
      <c r="I830">
        <v>0</v>
      </c>
      <c r="J830" t="str">
        <f>_xlfn.XLOOKUP(tblOrders[[#This Row],[ProductID]],Products!$A$2:$A$9,Products!$B$2:$B$9,"Unknown")</f>
        <v>Headset</v>
      </c>
      <c r="K830" t="str">
        <f>_xlfn.XLOOKUP(tblOrders[[#This Row],[ProductID]],Products!$A$2:$A$9,Products!$C$2:$C$9,"Unknown")</f>
        <v>Accessories</v>
      </c>
      <c r="L830">
        <f>_xlfn.XLOOKUP(tblOrders[[#This Row],[ProductID]],Products!$A$2:$A$9,Products!$D$2:$D$9,0)</f>
        <v>1300</v>
      </c>
      <c r="M830">
        <f>tblOrders[[#This Row],[Quantity]]*tblOrders[[#This Row],[UnitPrice]]*(1-tblOrders[[#This Row],[Discount]])</f>
        <v>14000</v>
      </c>
      <c r="N830">
        <f>tblOrders[[#This Row],[Quantity]]*tblOrders[[#This Row],[UnitCost]]</f>
        <v>9100</v>
      </c>
      <c r="O830">
        <f>tblOrders[[#This Row],[Revenue]]-tblOrders[[#This Row],[Cost]]</f>
        <v>4900</v>
      </c>
      <c r="P830" t="str">
        <f>TEXT(tblOrders[[#This Row],[OrderDate]],"mmm")</f>
        <v>Nov</v>
      </c>
    </row>
    <row r="831" spans="1:16" x14ac:dyDescent="0.25">
      <c r="A831" t="s">
        <v>561</v>
      </c>
      <c r="B831" s="2">
        <v>45790</v>
      </c>
      <c r="C831" t="s">
        <v>175</v>
      </c>
      <c r="D831" t="s">
        <v>21</v>
      </c>
      <c r="E831" t="s">
        <v>28</v>
      </c>
      <c r="F831" t="s">
        <v>13</v>
      </c>
      <c r="G831">
        <v>12</v>
      </c>
      <c r="H831">
        <v>2000</v>
      </c>
      <c r="I831">
        <v>0</v>
      </c>
      <c r="J831" t="str">
        <f>_xlfn.XLOOKUP(tblOrders[[#This Row],[ProductID]],Products!$A$2:$A$9,Products!$B$2:$B$9,"Unknown")</f>
        <v>Headset</v>
      </c>
      <c r="K831" t="str">
        <f>_xlfn.XLOOKUP(tblOrders[[#This Row],[ProductID]],Products!$A$2:$A$9,Products!$C$2:$C$9,"Unknown")</f>
        <v>Accessories</v>
      </c>
      <c r="L831">
        <f>_xlfn.XLOOKUP(tblOrders[[#This Row],[ProductID]],Products!$A$2:$A$9,Products!$D$2:$D$9,0)</f>
        <v>1300</v>
      </c>
      <c r="M831">
        <f>tblOrders[[#This Row],[Quantity]]*tblOrders[[#This Row],[UnitPrice]]*(1-tblOrders[[#This Row],[Discount]])</f>
        <v>24000</v>
      </c>
      <c r="N831">
        <f>tblOrders[[#This Row],[Quantity]]*tblOrders[[#This Row],[UnitCost]]</f>
        <v>15600</v>
      </c>
      <c r="O831">
        <f>tblOrders[[#This Row],[Revenue]]-tblOrders[[#This Row],[Cost]]</f>
        <v>8400</v>
      </c>
      <c r="P831" t="str">
        <f>TEXT(tblOrders[[#This Row],[OrderDate]],"mmm")</f>
        <v>May</v>
      </c>
    </row>
    <row r="832" spans="1:16" x14ac:dyDescent="0.25">
      <c r="A832" t="s">
        <v>1017</v>
      </c>
      <c r="B832" s="2">
        <v>45663</v>
      </c>
      <c r="C832" t="s">
        <v>149</v>
      </c>
      <c r="D832" t="s">
        <v>11</v>
      </c>
      <c r="E832" t="s">
        <v>12</v>
      </c>
      <c r="F832" t="s">
        <v>64</v>
      </c>
      <c r="G832">
        <v>14</v>
      </c>
      <c r="H832">
        <v>500</v>
      </c>
      <c r="I832">
        <v>0</v>
      </c>
      <c r="J832" t="str">
        <f>_xlfn.XLOOKUP(tblOrders[[#This Row],[ProductID]],Products!$A$2:$A$9,Products!$B$2:$B$9,"Unknown")</f>
        <v>Mouse</v>
      </c>
      <c r="K832" t="str">
        <f>_xlfn.XLOOKUP(tblOrders[[#This Row],[ProductID]],Products!$A$2:$A$9,Products!$C$2:$C$9,"Unknown")</f>
        <v>Accessories</v>
      </c>
      <c r="L832">
        <f>_xlfn.XLOOKUP(tblOrders[[#This Row],[ProductID]],Products!$A$2:$A$9,Products!$D$2:$D$9,0)</f>
        <v>320</v>
      </c>
      <c r="M832">
        <f>tblOrders[[#This Row],[Quantity]]*tblOrders[[#This Row],[UnitPrice]]*(1-tblOrders[[#This Row],[Discount]])</f>
        <v>7000</v>
      </c>
      <c r="N832">
        <f>tblOrders[[#This Row],[Quantity]]*tblOrders[[#This Row],[UnitCost]]</f>
        <v>4480</v>
      </c>
      <c r="O832">
        <f>tblOrders[[#This Row],[Revenue]]-tblOrders[[#This Row],[Cost]]</f>
        <v>2520</v>
      </c>
      <c r="P832" t="str">
        <f>TEXT(tblOrders[[#This Row],[OrderDate]],"mmm")</f>
        <v>Jan</v>
      </c>
    </row>
    <row r="833" spans="1:16" x14ac:dyDescent="0.25">
      <c r="A833" t="s">
        <v>722</v>
      </c>
      <c r="B833" s="2">
        <v>45850</v>
      </c>
      <c r="C833" t="s">
        <v>130</v>
      </c>
      <c r="D833" t="s">
        <v>11</v>
      </c>
      <c r="E833" t="s">
        <v>46</v>
      </c>
      <c r="F833" t="s">
        <v>43</v>
      </c>
      <c r="G833">
        <v>5</v>
      </c>
      <c r="H833">
        <v>1500</v>
      </c>
      <c r="I833">
        <v>0</v>
      </c>
      <c r="J833" t="str">
        <f>_xlfn.XLOOKUP(tblOrders[[#This Row],[ProductID]],Products!$A$2:$A$9,Products!$B$2:$B$9,"Unknown")</f>
        <v>Webcam</v>
      </c>
      <c r="K833" t="str">
        <f>_xlfn.XLOOKUP(tblOrders[[#This Row],[ProductID]],Products!$A$2:$A$9,Products!$C$2:$C$9,"Unknown")</f>
        <v>Accessories</v>
      </c>
      <c r="L833">
        <f>_xlfn.XLOOKUP(tblOrders[[#This Row],[ProductID]],Products!$A$2:$A$9,Products!$D$2:$D$9,0)</f>
        <v>980</v>
      </c>
      <c r="M833">
        <f>tblOrders[[#This Row],[Quantity]]*tblOrders[[#This Row],[UnitPrice]]*(1-tblOrders[[#This Row],[Discount]])</f>
        <v>7500</v>
      </c>
      <c r="N833">
        <f>tblOrders[[#This Row],[Quantity]]*tblOrders[[#This Row],[UnitCost]]</f>
        <v>4900</v>
      </c>
      <c r="O833">
        <f>tblOrders[[#This Row],[Revenue]]-tblOrders[[#This Row],[Cost]]</f>
        <v>2600</v>
      </c>
      <c r="P833" t="str">
        <f>TEXT(tblOrders[[#This Row],[OrderDate]],"mmm")</f>
        <v>Jul</v>
      </c>
    </row>
    <row r="834" spans="1:16" x14ac:dyDescent="0.25">
      <c r="A834" t="s">
        <v>472</v>
      </c>
      <c r="B834" s="2">
        <v>45698</v>
      </c>
      <c r="C834" t="s">
        <v>71</v>
      </c>
      <c r="D834" t="s">
        <v>16</v>
      </c>
      <c r="E834" t="s">
        <v>33</v>
      </c>
      <c r="F834" t="s">
        <v>18</v>
      </c>
      <c r="G834">
        <v>10</v>
      </c>
      <c r="H834">
        <v>18000</v>
      </c>
      <c r="I834">
        <v>0</v>
      </c>
      <c r="J834" t="str">
        <f>_xlfn.XLOOKUP(tblOrders[[#This Row],[ProductID]],Products!$A$2:$A$9,Products!$B$2:$B$9,"Unknown")</f>
        <v>Tablet</v>
      </c>
      <c r="K834" t="str">
        <f>_xlfn.XLOOKUP(tblOrders[[#This Row],[ProductID]],Products!$A$2:$A$9,Products!$C$2:$C$9,"Unknown")</f>
        <v>Electronics</v>
      </c>
      <c r="L834">
        <f>_xlfn.XLOOKUP(tblOrders[[#This Row],[ProductID]],Products!$A$2:$A$9,Products!$D$2:$D$9,0)</f>
        <v>13500</v>
      </c>
      <c r="M834">
        <f>tblOrders[[#This Row],[Quantity]]*tblOrders[[#This Row],[UnitPrice]]*(1-tblOrders[[#This Row],[Discount]])</f>
        <v>180000</v>
      </c>
      <c r="N834">
        <f>tblOrders[[#This Row],[Quantity]]*tblOrders[[#This Row],[UnitCost]]</f>
        <v>135000</v>
      </c>
      <c r="O834">
        <f>tblOrders[[#This Row],[Revenue]]-tblOrders[[#This Row],[Cost]]</f>
        <v>45000</v>
      </c>
      <c r="P834" t="str">
        <f>TEXT(tblOrders[[#This Row],[OrderDate]],"mmm")</f>
        <v>Feb</v>
      </c>
    </row>
    <row r="835" spans="1:16" x14ac:dyDescent="0.25">
      <c r="A835" t="s">
        <v>58</v>
      </c>
      <c r="B835" s="2">
        <v>45915</v>
      </c>
      <c r="C835" t="s">
        <v>59</v>
      </c>
      <c r="D835" t="s">
        <v>39</v>
      </c>
      <c r="E835" t="s">
        <v>40</v>
      </c>
      <c r="F835" t="s">
        <v>34</v>
      </c>
      <c r="G835">
        <v>8</v>
      </c>
      <c r="H835">
        <v>55000</v>
      </c>
      <c r="I835">
        <v>0.05</v>
      </c>
      <c r="J835" t="str">
        <f>_xlfn.XLOOKUP(tblOrders[[#This Row],[ProductID]],Products!$A$2:$A$9,Products!$B$2:$B$9,"Unknown")</f>
        <v>Laptop</v>
      </c>
      <c r="K835" t="str">
        <f>_xlfn.XLOOKUP(tblOrders[[#This Row],[ProductID]],Products!$A$2:$A$9,Products!$C$2:$C$9,"Unknown")</f>
        <v>Electronics</v>
      </c>
      <c r="L835">
        <f>_xlfn.XLOOKUP(tblOrders[[#This Row],[ProductID]],Products!$A$2:$A$9,Products!$D$2:$D$9,0)</f>
        <v>41000</v>
      </c>
      <c r="M835">
        <f>tblOrders[[#This Row],[Quantity]]*tblOrders[[#This Row],[UnitPrice]]*(1-tblOrders[[#This Row],[Discount]])</f>
        <v>418000</v>
      </c>
      <c r="N835">
        <f>tblOrders[[#This Row],[Quantity]]*tblOrders[[#This Row],[UnitCost]]</f>
        <v>328000</v>
      </c>
      <c r="O835">
        <f>tblOrders[[#This Row],[Revenue]]-tblOrders[[#This Row],[Cost]]</f>
        <v>90000</v>
      </c>
      <c r="P835" t="str">
        <f>TEXT(tblOrders[[#This Row],[OrderDate]],"mmm")</f>
        <v>Sep</v>
      </c>
    </row>
    <row r="836" spans="1:16" x14ac:dyDescent="0.25">
      <c r="A836" t="s">
        <v>74</v>
      </c>
      <c r="B836" s="2">
        <v>45984</v>
      </c>
      <c r="C836" t="s">
        <v>59</v>
      </c>
      <c r="D836" t="s">
        <v>16</v>
      </c>
      <c r="E836" t="s">
        <v>33</v>
      </c>
      <c r="F836" t="s">
        <v>43</v>
      </c>
      <c r="G836">
        <v>3</v>
      </c>
      <c r="H836">
        <v>1500</v>
      </c>
      <c r="I836">
        <v>0</v>
      </c>
      <c r="J836" t="str">
        <f>_xlfn.XLOOKUP(tblOrders[[#This Row],[ProductID]],Products!$A$2:$A$9,Products!$B$2:$B$9,"Unknown")</f>
        <v>Webcam</v>
      </c>
      <c r="K836" t="str">
        <f>_xlfn.XLOOKUP(tblOrders[[#This Row],[ProductID]],Products!$A$2:$A$9,Products!$C$2:$C$9,"Unknown")</f>
        <v>Accessories</v>
      </c>
      <c r="L836">
        <f>_xlfn.XLOOKUP(tblOrders[[#This Row],[ProductID]],Products!$A$2:$A$9,Products!$D$2:$D$9,0)</f>
        <v>980</v>
      </c>
      <c r="M836">
        <f>tblOrders[[#This Row],[Quantity]]*tblOrders[[#This Row],[UnitPrice]]*(1-tblOrders[[#This Row],[Discount]])</f>
        <v>4500</v>
      </c>
      <c r="N836">
        <f>tblOrders[[#This Row],[Quantity]]*tblOrders[[#This Row],[UnitCost]]</f>
        <v>2940</v>
      </c>
      <c r="O836">
        <f>tblOrders[[#This Row],[Revenue]]-tblOrders[[#This Row],[Cost]]</f>
        <v>1560</v>
      </c>
      <c r="P836" t="str">
        <f>TEXT(tblOrders[[#This Row],[OrderDate]],"mmm")</f>
        <v>Nov</v>
      </c>
    </row>
    <row r="837" spans="1:16" x14ac:dyDescent="0.25">
      <c r="A837" t="s">
        <v>525</v>
      </c>
      <c r="B837" s="2">
        <v>45835</v>
      </c>
      <c r="C837" t="s">
        <v>153</v>
      </c>
      <c r="D837" t="s">
        <v>21</v>
      </c>
      <c r="E837" t="s">
        <v>22</v>
      </c>
      <c r="F837" t="s">
        <v>23</v>
      </c>
      <c r="G837">
        <v>10</v>
      </c>
      <c r="H837">
        <v>900</v>
      </c>
      <c r="I837">
        <v>0.05</v>
      </c>
      <c r="J837" t="str">
        <f>_xlfn.XLOOKUP(tblOrders[[#This Row],[ProductID]],Products!$A$2:$A$9,Products!$B$2:$B$9,"Unknown")</f>
        <v>Keyboard</v>
      </c>
      <c r="K837" t="str">
        <f>_xlfn.XLOOKUP(tblOrders[[#This Row],[ProductID]],Products!$A$2:$A$9,Products!$C$2:$C$9,"Unknown")</f>
        <v>Accessories</v>
      </c>
      <c r="L837">
        <f>_xlfn.XLOOKUP(tblOrders[[#This Row],[ProductID]],Products!$A$2:$A$9,Products!$D$2:$D$9,0)</f>
        <v>600</v>
      </c>
      <c r="M837">
        <f>tblOrders[[#This Row],[Quantity]]*tblOrders[[#This Row],[UnitPrice]]*(1-tblOrders[[#This Row],[Discount]])</f>
        <v>8550</v>
      </c>
      <c r="N837">
        <f>tblOrders[[#This Row],[Quantity]]*tblOrders[[#This Row],[UnitCost]]</f>
        <v>6000</v>
      </c>
      <c r="O837">
        <f>tblOrders[[#This Row],[Revenue]]-tblOrders[[#This Row],[Cost]]</f>
        <v>2550</v>
      </c>
      <c r="P837" t="str">
        <f>TEXT(tblOrders[[#This Row],[OrderDate]],"mmm")</f>
        <v>Jun</v>
      </c>
    </row>
    <row r="838" spans="1:16" x14ac:dyDescent="0.25">
      <c r="A838" t="s">
        <v>1051</v>
      </c>
      <c r="B838" s="2">
        <v>45744</v>
      </c>
      <c r="C838" t="s">
        <v>162</v>
      </c>
      <c r="D838" t="s">
        <v>39</v>
      </c>
      <c r="E838" t="s">
        <v>76</v>
      </c>
      <c r="F838" t="s">
        <v>55</v>
      </c>
      <c r="G838">
        <v>14</v>
      </c>
      <c r="H838">
        <v>8000</v>
      </c>
      <c r="I838">
        <v>0</v>
      </c>
      <c r="J838" t="str">
        <f>_xlfn.XLOOKUP(tblOrders[[#This Row],[ProductID]],Products!$A$2:$A$9,Products!$B$2:$B$9,"Unknown")</f>
        <v>Printer</v>
      </c>
      <c r="K838" t="str">
        <f>_xlfn.XLOOKUP(tblOrders[[#This Row],[ProductID]],Products!$A$2:$A$9,Products!$C$2:$C$9,"Unknown")</f>
        <v>Electronics</v>
      </c>
      <c r="L838">
        <f>_xlfn.XLOOKUP(tblOrders[[#This Row],[ProductID]],Products!$A$2:$A$9,Products!$D$2:$D$9,0)</f>
        <v>6200</v>
      </c>
      <c r="M838">
        <f>tblOrders[[#This Row],[Quantity]]*tblOrders[[#This Row],[UnitPrice]]*(1-tblOrders[[#This Row],[Discount]])</f>
        <v>112000</v>
      </c>
      <c r="N838">
        <f>tblOrders[[#This Row],[Quantity]]*tblOrders[[#This Row],[UnitCost]]</f>
        <v>86800</v>
      </c>
      <c r="O838">
        <f>tblOrders[[#This Row],[Revenue]]-tblOrders[[#This Row],[Cost]]</f>
        <v>25200</v>
      </c>
      <c r="P838" t="str">
        <f>TEXT(tblOrders[[#This Row],[OrderDate]],"mmm")</f>
        <v>Mar</v>
      </c>
    </row>
    <row r="839" spans="1:16" x14ac:dyDescent="0.25">
      <c r="A839" t="s">
        <v>127</v>
      </c>
      <c r="B839" s="2">
        <v>45940</v>
      </c>
      <c r="C839" t="s">
        <v>68</v>
      </c>
      <c r="D839" t="s">
        <v>21</v>
      </c>
      <c r="E839" t="s">
        <v>22</v>
      </c>
      <c r="F839" t="s">
        <v>64</v>
      </c>
      <c r="G839">
        <v>1</v>
      </c>
      <c r="H839">
        <v>500</v>
      </c>
      <c r="I839">
        <v>0.15</v>
      </c>
      <c r="J839" t="str">
        <f>_xlfn.XLOOKUP(tblOrders[[#This Row],[ProductID]],Products!$A$2:$A$9,Products!$B$2:$B$9,"Unknown")</f>
        <v>Mouse</v>
      </c>
      <c r="K839" t="str">
        <f>_xlfn.XLOOKUP(tblOrders[[#This Row],[ProductID]],Products!$A$2:$A$9,Products!$C$2:$C$9,"Unknown")</f>
        <v>Accessories</v>
      </c>
      <c r="L839">
        <f>_xlfn.XLOOKUP(tblOrders[[#This Row],[ProductID]],Products!$A$2:$A$9,Products!$D$2:$D$9,0)</f>
        <v>320</v>
      </c>
      <c r="M839">
        <f>tblOrders[[#This Row],[Quantity]]*tblOrders[[#This Row],[UnitPrice]]*(1-tblOrders[[#This Row],[Discount]])</f>
        <v>425</v>
      </c>
      <c r="N839">
        <f>tblOrders[[#This Row],[Quantity]]*tblOrders[[#This Row],[UnitCost]]</f>
        <v>320</v>
      </c>
      <c r="O839">
        <f>tblOrders[[#This Row],[Revenue]]-tblOrders[[#This Row],[Cost]]</f>
        <v>105</v>
      </c>
      <c r="P839" t="str">
        <f>TEXT(tblOrders[[#This Row],[OrderDate]],"mmm")</f>
        <v>Oct</v>
      </c>
    </row>
    <row r="840" spans="1:16" x14ac:dyDescent="0.25">
      <c r="A840" t="s">
        <v>230</v>
      </c>
      <c r="B840" s="2">
        <v>45690</v>
      </c>
      <c r="C840" t="s">
        <v>45</v>
      </c>
      <c r="D840" t="s">
        <v>16</v>
      </c>
      <c r="E840" t="s">
        <v>17</v>
      </c>
      <c r="F840" t="s">
        <v>43</v>
      </c>
      <c r="G840">
        <v>1</v>
      </c>
      <c r="H840">
        <v>1500</v>
      </c>
      <c r="I840">
        <v>0</v>
      </c>
      <c r="J840" t="str">
        <f>_xlfn.XLOOKUP(tblOrders[[#This Row],[ProductID]],Products!$A$2:$A$9,Products!$B$2:$B$9,"Unknown")</f>
        <v>Webcam</v>
      </c>
      <c r="K840" t="str">
        <f>_xlfn.XLOOKUP(tblOrders[[#This Row],[ProductID]],Products!$A$2:$A$9,Products!$C$2:$C$9,"Unknown")</f>
        <v>Accessories</v>
      </c>
      <c r="L840">
        <f>_xlfn.XLOOKUP(tblOrders[[#This Row],[ProductID]],Products!$A$2:$A$9,Products!$D$2:$D$9,0)</f>
        <v>980</v>
      </c>
      <c r="M840">
        <f>tblOrders[[#This Row],[Quantity]]*tblOrders[[#This Row],[UnitPrice]]*(1-tblOrders[[#This Row],[Discount]])</f>
        <v>1500</v>
      </c>
      <c r="N840">
        <f>tblOrders[[#This Row],[Quantity]]*tblOrders[[#This Row],[UnitCost]]</f>
        <v>980</v>
      </c>
      <c r="O840">
        <f>tblOrders[[#This Row],[Revenue]]-tblOrders[[#This Row],[Cost]]</f>
        <v>520</v>
      </c>
      <c r="P840" t="str">
        <f>TEXT(tblOrders[[#This Row],[OrderDate]],"mmm")</f>
        <v>Feb</v>
      </c>
    </row>
    <row r="841" spans="1:16" x14ac:dyDescent="0.25">
      <c r="A841" t="s">
        <v>937</v>
      </c>
      <c r="B841" s="2">
        <v>45980</v>
      </c>
      <c r="C841" t="s">
        <v>136</v>
      </c>
      <c r="D841" t="s">
        <v>21</v>
      </c>
      <c r="E841" t="s">
        <v>22</v>
      </c>
      <c r="F841" t="s">
        <v>64</v>
      </c>
      <c r="G841">
        <v>8</v>
      </c>
      <c r="H841">
        <v>500</v>
      </c>
      <c r="I841">
        <v>0.05</v>
      </c>
      <c r="J841" t="str">
        <f>_xlfn.XLOOKUP(tblOrders[[#This Row],[ProductID]],Products!$A$2:$A$9,Products!$B$2:$B$9,"Unknown")</f>
        <v>Mouse</v>
      </c>
      <c r="K841" t="str">
        <f>_xlfn.XLOOKUP(tblOrders[[#This Row],[ProductID]],Products!$A$2:$A$9,Products!$C$2:$C$9,"Unknown")</f>
        <v>Accessories</v>
      </c>
      <c r="L841">
        <f>_xlfn.XLOOKUP(tblOrders[[#This Row],[ProductID]],Products!$A$2:$A$9,Products!$D$2:$D$9,0)</f>
        <v>320</v>
      </c>
      <c r="M841">
        <f>tblOrders[[#This Row],[Quantity]]*tblOrders[[#This Row],[UnitPrice]]*(1-tblOrders[[#This Row],[Discount]])</f>
        <v>3800</v>
      </c>
      <c r="N841">
        <f>tblOrders[[#This Row],[Quantity]]*tblOrders[[#This Row],[UnitCost]]</f>
        <v>2560</v>
      </c>
      <c r="O841">
        <f>tblOrders[[#This Row],[Revenue]]-tblOrders[[#This Row],[Cost]]</f>
        <v>1240</v>
      </c>
      <c r="P841" t="str">
        <f>TEXT(tblOrders[[#This Row],[OrderDate]],"mmm")</f>
        <v>Nov</v>
      </c>
    </row>
    <row r="842" spans="1:16" x14ac:dyDescent="0.25">
      <c r="A842" t="s">
        <v>298</v>
      </c>
      <c r="B842" s="2">
        <v>45672</v>
      </c>
      <c r="C842" t="s">
        <v>195</v>
      </c>
      <c r="D842" t="s">
        <v>21</v>
      </c>
      <c r="E842" t="s">
        <v>22</v>
      </c>
      <c r="F842" t="s">
        <v>43</v>
      </c>
      <c r="G842">
        <v>9</v>
      </c>
      <c r="H842">
        <v>1500</v>
      </c>
      <c r="I842">
        <v>0.05</v>
      </c>
      <c r="J842" t="str">
        <f>_xlfn.XLOOKUP(tblOrders[[#This Row],[ProductID]],Products!$A$2:$A$9,Products!$B$2:$B$9,"Unknown")</f>
        <v>Webcam</v>
      </c>
      <c r="K842" t="str">
        <f>_xlfn.XLOOKUP(tblOrders[[#This Row],[ProductID]],Products!$A$2:$A$9,Products!$C$2:$C$9,"Unknown")</f>
        <v>Accessories</v>
      </c>
      <c r="L842">
        <f>_xlfn.XLOOKUP(tblOrders[[#This Row],[ProductID]],Products!$A$2:$A$9,Products!$D$2:$D$9,0)</f>
        <v>980</v>
      </c>
      <c r="M842">
        <f>tblOrders[[#This Row],[Quantity]]*tblOrders[[#This Row],[UnitPrice]]*(1-tblOrders[[#This Row],[Discount]])</f>
        <v>12825</v>
      </c>
      <c r="N842">
        <f>tblOrders[[#This Row],[Quantity]]*tblOrders[[#This Row],[UnitCost]]</f>
        <v>8820</v>
      </c>
      <c r="O842">
        <f>tblOrders[[#This Row],[Revenue]]-tblOrders[[#This Row],[Cost]]</f>
        <v>4005</v>
      </c>
      <c r="P842" t="str">
        <f>TEXT(tblOrders[[#This Row],[OrderDate]],"mmm")</f>
        <v>Jan</v>
      </c>
    </row>
    <row r="843" spans="1:16" x14ac:dyDescent="0.25">
      <c r="A843" t="s">
        <v>532</v>
      </c>
      <c r="B843" s="2">
        <v>45813</v>
      </c>
      <c r="C843" t="s">
        <v>71</v>
      </c>
      <c r="D843" t="s">
        <v>11</v>
      </c>
      <c r="E843" t="s">
        <v>46</v>
      </c>
      <c r="F843" t="s">
        <v>55</v>
      </c>
      <c r="G843">
        <v>9</v>
      </c>
      <c r="H843">
        <v>8000</v>
      </c>
      <c r="I843">
        <v>0</v>
      </c>
      <c r="J843" t="str">
        <f>_xlfn.XLOOKUP(tblOrders[[#This Row],[ProductID]],Products!$A$2:$A$9,Products!$B$2:$B$9,"Unknown")</f>
        <v>Printer</v>
      </c>
      <c r="K843" t="str">
        <f>_xlfn.XLOOKUP(tblOrders[[#This Row],[ProductID]],Products!$A$2:$A$9,Products!$C$2:$C$9,"Unknown")</f>
        <v>Electronics</v>
      </c>
      <c r="L843">
        <f>_xlfn.XLOOKUP(tblOrders[[#This Row],[ProductID]],Products!$A$2:$A$9,Products!$D$2:$D$9,0)</f>
        <v>6200</v>
      </c>
      <c r="M843">
        <f>tblOrders[[#This Row],[Quantity]]*tblOrders[[#This Row],[UnitPrice]]*(1-tblOrders[[#This Row],[Discount]])</f>
        <v>72000</v>
      </c>
      <c r="N843">
        <f>tblOrders[[#This Row],[Quantity]]*tblOrders[[#This Row],[UnitCost]]</f>
        <v>55800</v>
      </c>
      <c r="O843">
        <f>tblOrders[[#This Row],[Revenue]]-tblOrders[[#This Row],[Cost]]</f>
        <v>16200</v>
      </c>
      <c r="P843" t="str">
        <f>TEXT(tblOrders[[#This Row],[OrderDate]],"mmm")</f>
        <v>Jun</v>
      </c>
    </row>
    <row r="844" spans="1:16" x14ac:dyDescent="0.25">
      <c r="A844" t="s">
        <v>997</v>
      </c>
      <c r="B844" s="2">
        <v>45792</v>
      </c>
      <c r="C844" t="s">
        <v>25</v>
      </c>
      <c r="D844" t="s">
        <v>16</v>
      </c>
      <c r="E844" t="s">
        <v>17</v>
      </c>
      <c r="F844" t="s">
        <v>43</v>
      </c>
      <c r="G844">
        <v>10</v>
      </c>
      <c r="H844">
        <v>1500</v>
      </c>
      <c r="I844">
        <v>0.15</v>
      </c>
      <c r="J844" t="str">
        <f>_xlfn.XLOOKUP(tblOrders[[#This Row],[ProductID]],Products!$A$2:$A$9,Products!$B$2:$B$9,"Unknown")</f>
        <v>Webcam</v>
      </c>
      <c r="K844" t="str">
        <f>_xlfn.XLOOKUP(tblOrders[[#This Row],[ProductID]],Products!$A$2:$A$9,Products!$C$2:$C$9,"Unknown")</f>
        <v>Accessories</v>
      </c>
      <c r="L844">
        <f>_xlfn.XLOOKUP(tblOrders[[#This Row],[ProductID]],Products!$A$2:$A$9,Products!$D$2:$D$9,0)</f>
        <v>980</v>
      </c>
      <c r="M844">
        <f>tblOrders[[#This Row],[Quantity]]*tblOrders[[#This Row],[UnitPrice]]*(1-tblOrders[[#This Row],[Discount]])</f>
        <v>12750</v>
      </c>
      <c r="N844">
        <f>tblOrders[[#This Row],[Quantity]]*tblOrders[[#This Row],[UnitCost]]</f>
        <v>9800</v>
      </c>
      <c r="O844">
        <f>tblOrders[[#This Row],[Revenue]]-tblOrders[[#This Row],[Cost]]</f>
        <v>2950</v>
      </c>
      <c r="P844" t="str">
        <f>TEXT(tblOrders[[#This Row],[OrderDate]],"mmm")</f>
        <v>May</v>
      </c>
    </row>
    <row r="845" spans="1:16" x14ac:dyDescent="0.25">
      <c r="A845" t="s">
        <v>470</v>
      </c>
      <c r="B845" s="2">
        <v>45968</v>
      </c>
      <c r="C845" t="s">
        <v>97</v>
      </c>
      <c r="D845" t="s">
        <v>39</v>
      </c>
      <c r="E845" t="s">
        <v>76</v>
      </c>
      <c r="F845" t="s">
        <v>23</v>
      </c>
      <c r="G845">
        <v>6</v>
      </c>
      <c r="H845">
        <v>900</v>
      </c>
      <c r="I845">
        <v>0.15</v>
      </c>
      <c r="J845" t="str">
        <f>_xlfn.XLOOKUP(tblOrders[[#This Row],[ProductID]],Products!$A$2:$A$9,Products!$B$2:$B$9,"Unknown")</f>
        <v>Keyboard</v>
      </c>
      <c r="K845" t="str">
        <f>_xlfn.XLOOKUP(tblOrders[[#This Row],[ProductID]],Products!$A$2:$A$9,Products!$C$2:$C$9,"Unknown")</f>
        <v>Accessories</v>
      </c>
      <c r="L845">
        <f>_xlfn.XLOOKUP(tblOrders[[#This Row],[ProductID]],Products!$A$2:$A$9,Products!$D$2:$D$9,0)</f>
        <v>600</v>
      </c>
      <c r="M845">
        <f>tblOrders[[#This Row],[Quantity]]*tblOrders[[#This Row],[UnitPrice]]*(1-tblOrders[[#This Row],[Discount]])</f>
        <v>4590</v>
      </c>
      <c r="N845">
        <f>tblOrders[[#This Row],[Quantity]]*tblOrders[[#This Row],[UnitCost]]</f>
        <v>3600</v>
      </c>
      <c r="O845">
        <f>tblOrders[[#This Row],[Revenue]]-tblOrders[[#This Row],[Cost]]</f>
        <v>990</v>
      </c>
      <c r="P845" t="str">
        <f>TEXT(tblOrders[[#This Row],[OrderDate]],"mmm")</f>
        <v>Nov</v>
      </c>
    </row>
    <row r="846" spans="1:16" x14ac:dyDescent="0.25">
      <c r="A846" t="s">
        <v>446</v>
      </c>
      <c r="B846" s="2">
        <v>45980</v>
      </c>
      <c r="C846" t="s">
        <v>25</v>
      </c>
      <c r="D846" t="s">
        <v>16</v>
      </c>
      <c r="E846" t="s">
        <v>33</v>
      </c>
      <c r="F846" t="s">
        <v>64</v>
      </c>
      <c r="G846">
        <v>6</v>
      </c>
      <c r="H846">
        <v>500</v>
      </c>
      <c r="I846">
        <v>0</v>
      </c>
      <c r="J846" t="str">
        <f>_xlfn.XLOOKUP(tblOrders[[#This Row],[ProductID]],Products!$A$2:$A$9,Products!$B$2:$B$9,"Unknown")</f>
        <v>Mouse</v>
      </c>
      <c r="K846" t="str">
        <f>_xlfn.XLOOKUP(tblOrders[[#This Row],[ProductID]],Products!$A$2:$A$9,Products!$C$2:$C$9,"Unknown")</f>
        <v>Accessories</v>
      </c>
      <c r="L846">
        <f>_xlfn.XLOOKUP(tblOrders[[#This Row],[ProductID]],Products!$A$2:$A$9,Products!$D$2:$D$9,0)</f>
        <v>320</v>
      </c>
      <c r="M846">
        <f>tblOrders[[#This Row],[Quantity]]*tblOrders[[#This Row],[UnitPrice]]*(1-tblOrders[[#This Row],[Discount]])</f>
        <v>3000</v>
      </c>
      <c r="N846">
        <f>tblOrders[[#This Row],[Quantity]]*tblOrders[[#This Row],[UnitCost]]</f>
        <v>1920</v>
      </c>
      <c r="O846">
        <f>tblOrders[[#This Row],[Revenue]]-tblOrders[[#This Row],[Cost]]</f>
        <v>1080</v>
      </c>
      <c r="P846" t="str">
        <f>TEXT(tblOrders[[#This Row],[OrderDate]],"mmm")</f>
        <v>Nov</v>
      </c>
    </row>
    <row r="847" spans="1:16" x14ac:dyDescent="0.25">
      <c r="A847" t="s">
        <v>396</v>
      </c>
      <c r="B847" s="2">
        <v>45978</v>
      </c>
      <c r="C847" t="s">
        <v>85</v>
      </c>
      <c r="D847" t="s">
        <v>11</v>
      </c>
      <c r="E847" t="s">
        <v>46</v>
      </c>
      <c r="F847" t="s">
        <v>69</v>
      </c>
      <c r="G847">
        <v>3</v>
      </c>
      <c r="H847">
        <v>12000</v>
      </c>
      <c r="I847">
        <v>0</v>
      </c>
      <c r="J847" t="str">
        <f>_xlfn.XLOOKUP(tblOrders[[#This Row],[ProductID]],Products!$A$2:$A$9,Products!$B$2:$B$9,"Unknown")</f>
        <v>Monitor</v>
      </c>
      <c r="K847" t="str">
        <f>_xlfn.XLOOKUP(tblOrders[[#This Row],[ProductID]],Products!$A$2:$A$9,Products!$C$2:$C$9,"Unknown")</f>
        <v>Electronics</v>
      </c>
      <c r="L847">
        <f>_xlfn.XLOOKUP(tblOrders[[#This Row],[ProductID]],Products!$A$2:$A$9,Products!$D$2:$D$9,0)</f>
        <v>9000</v>
      </c>
      <c r="M847">
        <f>tblOrders[[#This Row],[Quantity]]*tblOrders[[#This Row],[UnitPrice]]*(1-tblOrders[[#This Row],[Discount]])</f>
        <v>36000</v>
      </c>
      <c r="N847">
        <f>tblOrders[[#This Row],[Quantity]]*tblOrders[[#This Row],[UnitCost]]</f>
        <v>27000</v>
      </c>
      <c r="O847">
        <f>tblOrders[[#This Row],[Revenue]]-tblOrders[[#This Row],[Cost]]</f>
        <v>9000</v>
      </c>
      <c r="P847" t="str">
        <f>TEXT(tblOrders[[#This Row],[OrderDate]],"mmm")</f>
        <v>Nov</v>
      </c>
    </row>
    <row r="848" spans="1:16" x14ac:dyDescent="0.25">
      <c r="A848" t="s">
        <v>794</v>
      </c>
      <c r="B848" s="2">
        <v>45929</v>
      </c>
      <c r="C848" t="s">
        <v>136</v>
      </c>
      <c r="D848" t="s">
        <v>39</v>
      </c>
      <c r="E848" t="s">
        <v>40</v>
      </c>
      <c r="F848" t="s">
        <v>64</v>
      </c>
      <c r="G848">
        <v>6</v>
      </c>
      <c r="H848">
        <v>500</v>
      </c>
      <c r="I848">
        <v>0</v>
      </c>
      <c r="J848" t="str">
        <f>_xlfn.XLOOKUP(tblOrders[[#This Row],[ProductID]],Products!$A$2:$A$9,Products!$B$2:$B$9,"Unknown")</f>
        <v>Mouse</v>
      </c>
      <c r="K848" t="str">
        <f>_xlfn.XLOOKUP(tblOrders[[#This Row],[ProductID]],Products!$A$2:$A$9,Products!$C$2:$C$9,"Unknown")</f>
        <v>Accessories</v>
      </c>
      <c r="L848">
        <f>_xlfn.XLOOKUP(tblOrders[[#This Row],[ProductID]],Products!$A$2:$A$9,Products!$D$2:$D$9,0)</f>
        <v>320</v>
      </c>
      <c r="M848">
        <f>tblOrders[[#This Row],[Quantity]]*tblOrders[[#This Row],[UnitPrice]]*(1-tblOrders[[#This Row],[Discount]])</f>
        <v>3000</v>
      </c>
      <c r="N848">
        <f>tblOrders[[#This Row],[Quantity]]*tblOrders[[#This Row],[UnitCost]]</f>
        <v>1920</v>
      </c>
      <c r="O848">
        <f>tblOrders[[#This Row],[Revenue]]-tblOrders[[#This Row],[Cost]]</f>
        <v>1080</v>
      </c>
      <c r="P848" t="str">
        <f>TEXT(tblOrders[[#This Row],[OrderDate]],"mmm")</f>
        <v>Sep</v>
      </c>
    </row>
    <row r="849" spans="1:16" x14ac:dyDescent="0.25">
      <c r="A849" t="s">
        <v>490</v>
      </c>
      <c r="B849" s="2">
        <v>45714</v>
      </c>
      <c r="C849" t="s">
        <v>38</v>
      </c>
      <c r="D849" t="s">
        <v>39</v>
      </c>
      <c r="E849" t="s">
        <v>76</v>
      </c>
      <c r="F849" t="s">
        <v>64</v>
      </c>
      <c r="G849">
        <v>5</v>
      </c>
      <c r="H849">
        <v>500</v>
      </c>
      <c r="I849">
        <v>0.1</v>
      </c>
      <c r="J849" t="str">
        <f>_xlfn.XLOOKUP(tblOrders[[#This Row],[ProductID]],Products!$A$2:$A$9,Products!$B$2:$B$9,"Unknown")</f>
        <v>Mouse</v>
      </c>
      <c r="K849" t="str">
        <f>_xlfn.XLOOKUP(tblOrders[[#This Row],[ProductID]],Products!$A$2:$A$9,Products!$C$2:$C$9,"Unknown")</f>
        <v>Accessories</v>
      </c>
      <c r="L849">
        <f>_xlfn.XLOOKUP(tblOrders[[#This Row],[ProductID]],Products!$A$2:$A$9,Products!$D$2:$D$9,0)</f>
        <v>320</v>
      </c>
      <c r="M849">
        <f>tblOrders[[#This Row],[Quantity]]*tblOrders[[#This Row],[UnitPrice]]*(1-tblOrders[[#This Row],[Discount]])</f>
        <v>2250</v>
      </c>
      <c r="N849">
        <f>tblOrders[[#This Row],[Quantity]]*tblOrders[[#This Row],[UnitCost]]</f>
        <v>1600</v>
      </c>
      <c r="O849">
        <f>tblOrders[[#This Row],[Revenue]]-tblOrders[[#This Row],[Cost]]</f>
        <v>650</v>
      </c>
      <c r="P849" t="str">
        <f>TEXT(tblOrders[[#This Row],[OrderDate]],"mmm")</f>
        <v>Feb</v>
      </c>
    </row>
    <row r="850" spans="1:16" x14ac:dyDescent="0.25">
      <c r="A850" t="s">
        <v>995</v>
      </c>
      <c r="B850" s="2">
        <v>45815</v>
      </c>
      <c r="C850" t="s">
        <v>171</v>
      </c>
      <c r="D850" t="s">
        <v>39</v>
      </c>
      <c r="E850" t="s">
        <v>76</v>
      </c>
      <c r="F850" t="s">
        <v>55</v>
      </c>
      <c r="G850">
        <v>8</v>
      </c>
      <c r="H850">
        <v>8000</v>
      </c>
      <c r="I850">
        <v>0</v>
      </c>
      <c r="J850" t="str">
        <f>_xlfn.XLOOKUP(tblOrders[[#This Row],[ProductID]],Products!$A$2:$A$9,Products!$B$2:$B$9,"Unknown")</f>
        <v>Printer</v>
      </c>
      <c r="K850" t="str">
        <f>_xlfn.XLOOKUP(tblOrders[[#This Row],[ProductID]],Products!$A$2:$A$9,Products!$C$2:$C$9,"Unknown")</f>
        <v>Electronics</v>
      </c>
      <c r="L850">
        <f>_xlfn.XLOOKUP(tblOrders[[#This Row],[ProductID]],Products!$A$2:$A$9,Products!$D$2:$D$9,0)</f>
        <v>6200</v>
      </c>
      <c r="M850">
        <f>tblOrders[[#This Row],[Quantity]]*tblOrders[[#This Row],[UnitPrice]]*(1-tblOrders[[#This Row],[Discount]])</f>
        <v>64000</v>
      </c>
      <c r="N850">
        <f>tblOrders[[#This Row],[Quantity]]*tblOrders[[#This Row],[UnitCost]]</f>
        <v>49600</v>
      </c>
      <c r="O850">
        <f>tblOrders[[#This Row],[Revenue]]-tblOrders[[#This Row],[Cost]]</f>
        <v>14400</v>
      </c>
      <c r="P850" t="str">
        <f>TEXT(tblOrders[[#This Row],[OrderDate]],"mmm")</f>
        <v>Jun</v>
      </c>
    </row>
    <row r="851" spans="1:16" x14ac:dyDescent="0.25">
      <c r="A851" t="s">
        <v>316</v>
      </c>
      <c r="B851" s="2">
        <v>45687</v>
      </c>
      <c r="C851" t="s">
        <v>245</v>
      </c>
      <c r="D851" t="s">
        <v>16</v>
      </c>
      <c r="E851" t="s">
        <v>17</v>
      </c>
      <c r="F851" t="s">
        <v>34</v>
      </c>
      <c r="G851">
        <v>15</v>
      </c>
      <c r="H851">
        <v>55000</v>
      </c>
      <c r="I851">
        <v>0</v>
      </c>
      <c r="J851" t="str">
        <f>_xlfn.XLOOKUP(tblOrders[[#This Row],[ProductID]],Products!$A$2:$A$9,Products!$B$2:$B$9,"Unknown")</f>
        <v>Laptop</v>
      </c>
      <c r="K851" t="str">
        <f>_xlfn.XLOOKUP(tblOrders[[#This Row],[ProductID]],Products!$A$2:$A$9,Products!$C$2:$C$9,"Unknown")</f>
        <v>Electronics</v>
      </c>
      <c r="L851">
        <f>_xlfn.XLOOKUP(tblOrders[[#This Row],[ProductID]],Products!$A$2:$A$9,Products!$D$2:$D$9,0)</f>
        <v>41000</v>
      </c>
      <c r="M851">
        <f>tblOrders[[#This Row],[Quantity]]*tblOrders[[#This Row],[UnitPrice]]*(1-tblOrders[[#This Row],[Discount]])</f>
        <v>825000</v>
      </c>
      <c r="N851">
        <f>tblOrders[[#This Row],[Quantity]]*tblOrders[[#This Row],[UnitCost]]</f>
        <v>615000</v>
      </c>
      <c r="O851">
        <f>tblOrders[[#This Row],[Revenue]]-tblOrders[[#This Row],[Cost]]</f>
        <v>210000</v>
      </c>
      <c r="P851" t="str">
        <f>TEXT(tblOrders[[#This Row],[OrderDate]],"mmm")</f>
        <v>Jan</v>
      </c>
    </row>
    <row r="852" spans="1:16" x14ac:dyDescent="0.25">
      <c r="A852" t="s">
        <v>576</v>
      </c>
      <c r="B852" s="2">
        <v>45980</v>
      </c>
      <c r="C852" t="s">
        <v>54</v>
      </c>
      <c r="D852" t="s">
        <v>21</v>
      </c>
      <c r="E852" t="s">
        <v>28</v>
      </c>
      <c r="F852" t="s">
        <v>18</v>
      </c>
      <c r="G852">
        <v>8</v>
      </c>
      <c r="H852">
        <v>18000</v>
      </c>
      <c r="I852">
        <v>0</v>
      </c>
      <c r="J852" t="str">
        <f>_xlfn.XLOOKUP(tblOrders[[#This Row],[ProductID]],Products!$A$2:$A$9,Products!$B$2:$B$9,"Unknown")</f>
        <v>Tablet</v>
      </c>
      <c r="K852" t="str">
        <f>_xlfn.XLOOKUP(tblOrders[[#This Row],[ProductID]],Products!$A$2:$A$9,Products!$C$2:$C$9,"Unknown")</f>
        <v>Electronics</v>
      </c>
      <c r="L852">
        <f>_xlfn.XLOOKUP(tblOrders[[#This Row],[ProductID]],Products!$A$2:$A$9,Products!$D$2:$D$9,0)</f>
        <v>13500</v>
      </c>
      <c r="M852">
        <f>tblOrders[[#This Row],[Quantity]]*tblOrders[[#This Row],[UnitPrice]]*(1-tblOrders[[#This Row],[Discount]])</f>
        <v>144000</v>
      </c>
      <c r="N852">
        <f>tblOrders[[#This Row],[Quantity]]*tblOrders[[#This Row],[UnitCost]]</f>
        <v>108000</v>
      </c>
      <c r="O852">
        <f>tblOrders[[#This Row],[Revenue]]-tblOrders[[#This Row],[Cost]]</f>
        <v>36000</v>
      </c>
      <c r="P852" t="str">
        <f>TEXT(tblOrders[[#This Row],[OrderDate]],"mmm")</f>
        <v>Nov</v>
      </c>
    </row>
    <row r="853" spans="1:16" x14ac:dyDescent="0.25">
      <c r="A853" t="s">
        <v>899</v>
      </c>
      <c r="B853" s="2">
        <v>45704</v>
      </c>
      <c r="C853" t="s">
        <v>229</v>
      </c>
      <c r="D853" t="s">
        <v>16</v>
      </c>
      <c r="E853" t="s">
        <v>17</v>
      </c>
      <c r="F853" t="s">
        <v>18</v>
      </c>
      <c r="G853">
        <v>9</v>
      </c>
      <c r="H853">
        <v>18000</v>
      </c>
      <c r="I853">
        <v>0</v>
      </c>
      <c r="J853" t="str">
        <f>_xlfn.XLOOKUP(tblOrders[[#This Row],[ProductID]],Products!$A$2:$A$9,Products!$B$2:$B$9,"Unknown")</f>
        <v>Tablet</v>
      </c>
      <c r="K853" t="str">
        <f>_xlfn.XLOOKUP(tblOrders[[#This Row],[ProductID]],Products!$A$2:$A$9,Products!$C$2:$C$9,"Unknown")</f>
        <v>Electronics</v>
      </c>
      <c r="L853">
        <f>_xlfn.XLOOKUP(tblOrders[[#This Row],[ProductID]],Products!$A$2:$A$9,Products!$D$2:$D$9,0)</f>
        <v>13500</v>
      </c>
      <c r="M853">
        <f>tblOrders[[#This Row],[Quantity]]*tblOrders[[#This Row],[UnitPrice]]*(1-tblOrders[[#This Row],[Discount]])</f>
        <v>162000</v>
      </c>
      <c r="N853">
        <f>tblOrders[[#This Row],[Quantity]]*tblOrders[[#This Row],[UnitCost]]</f>
        <v>121500</v>
      </c>
      <c r="O853">
        <f>tblOrders[[#This Row],[Revenue]]-tblOrders[[#This Row],[Cost]]</f>
        <v>40500</v>
      </c>
      <c r="P853" t="str">
        <f>TEXT(tblOrders[[#This Row],[OrderDate]],"mmm")</f>
        <v>Feb</v>
      </c>
    </row>
    <row r="854" spans="1:16" x14ac:dyDescent="0.25">
      <c r="A854" t="s">
        <v>738</v>
      </c>
      <c r="B854" s="2">
        <v>45982</v>
      </c>
      <c r="C854" t="s">
        <v>82</v>
      </c>
      <c r="D854" t="s">
        <v>39</v>
      </c>
      <c r="E854" t="s">
        <v>40</v>
      </c>
      <c r="F854" t="s">
        <v>69</v>
      </c>
      <c r="G854">
        <v>10</v>
      </c>
      <c r="H854">
        <v>12000</v>
      </c>
      <c r="I854">
        <v>0</v>
      </c>
      <c r="J854" t="str">
        <f>_xlfn.XLOOKUP(tblOrders[[#This Row],[ProductID]],Products!$A$2:$A$9,Products!$B$2:$B$9,"Unknown")</f>
        <v>Monitor</v>
      </c>
      <c r="K854" t="str">
        <f>_xlfn.XLOOKUP(tblOrders[[#This Row],[ProductID]],Products!$A$2:$A$9,Products!$C$2:$C$9,"Unknown")</f>
        <v>Electronics</v>
      </c>
      <c r="L854">
        <f>_xlfn.XLOOKUP(tblOrders[[#This Row],[ProductID]],Products!$A$2:$A$9,Products!$D$2:$D$9,0)</f>
        <v>9000</v>
      </c>
      <c r="M854">
        <f>tblOrders[[#This Row],[Quantity]]*tblOrders[[#This Row],[UnitPrice]]*(1-tblOrders[[#This Row],[Discount]])</f>
        <v>120000</v>
      </c>
      <c r="N854">
        <f>tblOrders[[#This Row],[Quantity]]*tblOrders[[#This Row],[UnitCost]]</f>
        <v>90000</v>
      </c>
      <c r="O854">
        <f>tblOrders[[#This Row],[Revenue]]-tblOrders[[#This Row],[Cost]]</f>
        <v>30000</v>
      </c>
      <c r="P854" t="str">
        <f>TEXT(tblOrders[[#This Row],[OrderDate]],"mmm")</f>
        <v>Nov</v>
      </c>
    </row>
    <row r="855" spans="1:16" x14ac:dyDescent="0.25">
      <c r="A855" t="s">
        <v>993</v>
      </c>
      <c r="B855" s="2">
        <v>45858</v>
      </c>
      <c r="C855" t="s">
        <v>153</v>
      </c>
      <c r="D855" t="s">
        <v>39</v>
      </c>
      <c r="E855" t="s">
        <v>40</v>
      </c>
      <c r="F855" t="s">
        <v>13</v>
      </c>
      <c r="G855">
        <v>5</v>
      </c>
      <c r="H855">
        <v>2000</v>
      </c>
      <c r="I855">
        <v>0.15</v>
      </c>
      <c r="J855" t="str">
        <f>_xlfn.XLOOKUP(tblOrders[[#This Row],[ProductID]],Products!$A$2:$A$9,Products!$B$2:$B$9,"Unknown")</f>
        <v>Headset</v>
      </c>
      <c r="K855" t="str">
        <f>_xlfn.XLOOKUP(tblOrders[[#This Row],[ProductID]],Products!$A$2:$A$9,Products!$C$2:$C$9,"Unknown")</f>
        <v>Accessories</v>
      </c>
      <c r="L855">
        <f>_xlfn.XLOOKUP(tblOrders[[#This Row],[ProductID]],Products!$A$2:$A$9,Products!$D$2:$D$9,0)</f>
        <v>1300</v>
      </c>
      <c r="M855">
        <f>tblOrders[[#This Row],[Quantity]]*tblOrders[[#This Row],[UnitPrice]]*(1-tblOrders[[#This Row],[Discount]])</f>
        <v>8500</v>
      </c>
      <c r="N855">
        <f>tblOrders[[#This Row],[Quantity]]*tblOrders[[#This Row],[UnitCost]]</f>
        <v>6500</v>
      </c>
      <c r="O855">
        <f>tblOrders[[#This Row],[Revenue]]-tblOrders[[#This Row],[Cost]]</f>
        <v>2000</v>
      </c>
      <c r="P855" t="str">
        <f>TEXT(tblOrders[[#This Row],[OrderDate]],"mmm")</f>
        <v>Jul</v>
      </c>
    </row>
    <row r="856" spans="1:16" x14ac:dyDescent="0.25">
      <c r="A856" t="s">
        <v>605</v>
      </c>
      <c r="B856" s="2">
        <v>45862</v>
      </c>
      <c r="C856" t="s">
        <v>45</v>
      </c>
      <c r="D856" t="s">
        <v>21</v>
      </c>
      <c r="E856" t="s">
        <v>28</v>
      </c>
      <c r="F856" t="s">
        <v>18</v>
      </c>
      <c r="G856">
        <v>2</v>
      </c>
      <c r="H856">
        <v>18000</v>
      </c>
      <c r="I856">
        <v>0</v>
      </c>
      <c r="J856" t="str">
        <f>_xlfn.XLOOKUP(tblOrders[[#This Row],[ProductID]],Products!$A$2:$A$9,Products!$B$2:$B$9,"Unknown")</f>
        <v>Tablet</v>
      </c>
      <c r="K856" t="str">
        <f>_xlfn.XLOOKUP(tblOrders[[#This Row],[ProductID]],Products!$A$2:$A$9,Products!$C$2:$C$9,"Unknown")</f>
        <v>Electronics</v>
      </c>
      <c r="L856">
        <f>_xlfn.XLOOKUP(tblOrders[[#This Row],[ProductID]],Products!$A$2:$A$9,Products!$D$2:$D$9,0)</f>
        <v>13500</v>
      </c>
      <c r="M856">
        <f>tblOrders[[#This Row],[Quantity]]*tblOrders[[#This Row],[UnitPrice]]*(1-tblOrders[[#This Row],[Discount]])</f>
        <v>36000</v>
      </c>
      <c r="N856">
        <f>tblOrders[[#This Row],[Quantity]]*tblOrders[[#This Row],[UnitCost]]</f>
        <v>27000</v>
      </c>
      <c r="O856">
        <f>tblOrders[[#This Row],[Revenue]]-tblOrders[[#This Row],[Cost]]</f>
        <v>9000</v>
      </c>
      <c r="P856" t="str">
        <f>TEXT(tblOrders[[#This Row],[OrderDate]],"mmm")</f>
        <v>Jul</v>
      </c>
    </row>
    <row r="857" spans="1:16" x14ac:dyDescent="0.25">
      <c r="A857" t="s">
        <v>489</v>
      </c>
      <c r="B857" s="2">
        <v>45770</v>
      </c>
      <c r="C857" t="s">
        <v>117</v>
      </c>
      <c r="D857" t="s">
        <v>11</v>
      </c>
      <c r="E857" t="s">
        <v>12</v>
      </c>
      <c r="F857" t="s">
        <v>55</v>
      </c>
      <c r="G857">
        <v>7</v>
      </c>
      <c r="H857">
        <v>8000</v>
      </c>
      <c r="I857">
        <v>0</v>
      </c>
      <c r="J857" t="str">
        <f>_xlfn.XLOOKUP(tblOrders[[#This Row],[ProductID]],Products!$A$2:$A$9,Products!$B$2:$B$9,"Unknown")</f>
        <v>Printer</v>
      </c>
      <c r="K857" t="str">
        <f>_xlfn.XLOOKUP(tblOrders[[#This Row],[ProductID]],Products!$A$2:$A$9,Products!$C$2:$C$9,"Unknown")</f>
        <v>Electronics</v>
      </c>
      <c r="L857">
        <f>_xlfn.XLOOKUP(tblOrders[[#This Row],[ProductID]],Products!$A$2:$A$9,Products!$D$2:$D$9,0)</f>
        <v>6200</v>
      </c>
      <c r="M857">
        <f>tblOrders[[#This Row],[Quantity]]*tblOrders[[#This Row],[UnitPrice]]*(1-tblOrders[[#This Row],[Discount]])</f>
        <v>56000</v>
      </c>
      <c r="N857">
        <f>tblOrders[[#This Row],[Quantity]]*tblOrders[[#This Row],[UnitCost]]</f>
        <v>43400</v>
      </c>
      <c r="O857">
        <f>tblOrders[[#This Row],[Revenue]]-tblOrders[[#This Row],[Cost]]</f>
        <v>12600</v>
      </c>
      <c r="P857" t="str">
        <f>TEXT(tblOrders[[#This Row],[OrderDate]],"mmm")</f>
        <v>Apr</v>
      </c>
    </row>
    <row r="858" spans="1:16" x14ac:dyDescent="0.25">
      <c r="A858" t="s">
        <v>179</v>
      </c>
      <c r="B858" s="2">
        <v>45944</v>
      </c>
      <c r="C858" t="s">
        <v>57</v>
      </c>
      <c r="D858" t="s">
        <v>16</v>
      </c>
      <c r="E858" t="s">
        <v>17</v>
      </c>
      <c r="F858" t="s">
        <v>34</v>
      </c>
      <c r="G858">
        <v>10</v>
      </c>
      <c r="H858">
        <v>55000</v>
      </c>
      <c r="I858">
        <v>0.05</v>
      </c>
      <c r="J858" t="str">
        <f>_xlfn.XLOOKUP(tblOrders[[#This Row],[ProductID]],Products!$A$2:$A$9,Products!$B$2:$B$9,"Unknown")</f>
        <v>Laptop</v>
      </c>
      <c r="K858" t="str">
        <f>_xlfn.XLOOKUP(tblOrders[[#This Row],[ProductID]],Products!$A$2:$A$9,Products!$C$2:$C$9,"Unknown")</f>
        <v>Electronics</v>
      </c>
      <c r="L858">
        <f>_xlfn.XLOOKUP(tblOrders[[#This Row],[ProductID]],Products!$A$2:$A$9,Products!$D$2:$D$9,0)</f>
        <v>41000</v>
      </c>
      <c r="M858">
        <f>tblOrders[[#This Row],[Quantity]]*tblOrders[[#This Row],[UnitPrice]]*(1-tblOrders[[#This Row],[Discount]])</f>
        <v>522500</v>
      </c>
      <c r="N858">
        <f>tblOrders[[#This Row],[Quantity]]*tblOrders[[#This Row],[UnitCost]]</f>
        <v>410000</v>
      </c>
      <c r="O858">
        <f>tblOrders[[#This Row],[Revenue]]-tblOrders[[#This Row],[Cost]]</f>
        <v>112500</v>
      </c>
      <c r="P858" t="str">
        <f>TEXT(tblOrders[[#This Row],[OrderDate]],"mmm")</f>
        <v>Oct</v>
      </c>
    </row>
    <row r="859" spans="1:16" x14ac:dyDescent="0.25">
      <c r="A859" t="s">
        <v>568</v>
      </c>
      <c r="B859" s="2">
        <v>45701</v>
      </c>
      <c r="C859" t="s">
        <v>153</v>
      </c>
      <c r="D859" t="s">
        <v>39</v>
      </c>
      <c r="E859" t="s">
        <v>76</v>
      </c>
      <c r="F859" t="s">
        <v>64</v>
      </c>
      <c r="G859">
        <v>1</v>
      </c>
      <c r="H859">
        <v>500</v>
      </c>
      <c r="I859">
        <v>0.1</v>
      </c>
      <c r="J859" t="str">
        <f>_xlfn.XLOOKUP(tblOrders[[#This Row],[ProductID]],Products!$A$2:$A$9,Products!$B$2:$B$9,"Unknown")</f>
        <v>Mouse</v>
      </c>
      <c r="K859" t="str">
        <f>_xlfn.XLOOKUP(tblOrders[[#This Row],[ProductID]],Products!$A$2:$A$9,Products!$C$2:$C$9,"Unknown")</f>
        <v>Accessories</v>
      </c>
      <c r="L859">
        <f>_xlfn.XLOOKUP(tblOrders[[#This Row],[ProductID]],Products!$A$2:$A$9,Products!$D$2:$D$9,0)</f>
        <v>320</v>
      </c>
      <c r="M859">
        <f>tblOrders[[#This Row],[Quantity]]*tblOrders[[#This Row],[UnitPrice]]*(1-tblOrders[[#This Row],[Discount]])</f>
        <v>450</v>
      </c>
      <c r="N859">
        <f>tblOrders[[#This Row],[Quantity]]*tblOrders[[#This Row],[UnitCost]]</f>
        <v>320</v>
      </c>
      <c r="O859">
        <f>tblOrders[[#This Row],[Revenue]]-tblOrders[[#This Row],[Cost]]</f>
        <v>130</v>
      </c>
      <c r="P859" t="str">
        <f>TEXT(tblOrders[[#This Row],[OrderDate]],"mmm")</f>
        <v>Feb</v>
      </c>
    </row>
    <row r="860" spans="1:16" x14ac:dyDescent="0.25">
      <c r="A860" t="s">
        <v>184</v>
      </c>
      <c r="B860" s="2">
        <v>45758</v>
      </c>
      <c r="C860" t="s">
        <v>158</v>
      </c>
      <c r="D860" t="s">
        <v>39</v>
      </c>
      <c r="E860" t="s">
        <v>76</v>
      </c>
      <c r="F860" t="s">
        <v>43</v>
      </c>
      <c r="G860">
        <v>3</v>
      </c>
      <c r="H860">
        <v>1500</v>
      </c>
      <c r="I860">
        <v>0</v>
      </c>
      <c r="J860" t="str">
        <f>_xlfn.XLOOKUP(tblOrders[[#This Row],[ProductID]],Products!$A$2:$A$9,Products!$B$2:$B$9,"Unknown")</f>
        <v>Webcam</v>
      </c>
      <c r="K860" t="str">
        <f>_xlfn.XLOOKUP(tblOrders[[#This Row],[ProductID]],Products!$A$2:$A$9,Products!$C$2:$C$9,"Unknown")</f>
        <v>Accessories</v>
      </c>
      <c r="L860">
        <f>_xlfn.XLOOKUP(tblOrders[[#This Row],[ProductID]],Products!$A$2:$A$9,Products!$D$2:$D$9,0)</f>
        <v>980</v>
      </c>
      <c r="M860">
        <f>tblOrders[[#This Row],[Quantity]]*tblOrders[[#This Row],[UnitPrice]]*(1-tblOrders[[#This Row],[Discount]])</f>
        <v>4500</v>
      </c>
      <c r="N860">
        <f>tblOrders[[#This Row],[Quantity]]*tblOrders[[#This Row],[UnitCost]]</f>
        <v>2940</v>
      </c>
      <c r="O860">
        <f>tblOrders[[#This Row],[Revenue]]-tblOrders[[#This Row],[Cost]]</f>
        <v>1560</v>
      </c>
      <c r="P860" t="str">
        <f>TEXT(tblOrders[[#This Row],[OrderDate]],"mmm")</f>
        <v>Apr</v>
      </c>
    </row>
    <row r="861" spans="1:16" x14ac:dyDescent="0.25">
      <c r="A861" t="s">
        <v>193</v>
      </c>
      <c r="B861" s="2">
        <v>45693</v>
      </c>
      <c r="C861" t="s">
        <v>115</v>
      </c>
      <c r="D861" t="s">
        <v>16</v>
      </c>
      <c r="E861" t="s">
        <v>17</v>
      </c>
      <c r="F861" t="s">
        <v>69</v>
      </c>
      <c r="G861">
        <v>7</v>
      </c>
      <c r="H861">
        <v>12000</v>
      </c>
      <c r="I861">
        <v>0.1</v>
      </c>
      <c r="J861" t="str">
        <f>_xlfn.XLOOKUP(tblOrders[[#This Row],[ProductID]],Products!$A$2:$A$9,Products!$B$2:$B$9,"Unknown")</f>
        <v>Monitor</v>
      </c>
      <c r="K861" t="str">
        <f>_xlfn.XLOOKUP(tblOrders[[#This Row],[ProductID]],Products!$A$2:$A$9,Products!$C$2:$C$9,"Unknown")</f>
        <v>Electronics</v>
      </c>
      <c r="L861">
        <f>_xlfn.XLOOKUP(tblOrders[[#This Row],[ProductID]],Products!$A$2:$A$9,Products!$D$2:$D$9,0)</f>
        <v>9000</v>
      </c>
      <c r="M861">
        <f>tblOrders[[#This Row],[Quantity]]*tblOrders[[#This Row],[UnitPrice]]*(1-tblOrders[[#This Row],[Discount]])</f>
        <v>75600</v>
      </c>
      <c r="N861">
        <f>tblOrders[[#This Row],[Quantity]]*tblOrders[[#This Row],[UnitCost]]</f>
        <v>63000</v>
      </c>
      <c r="O861">
        <f>tblOrders[[#This Row],[Revenue]]-tblOrders[[#This Row],[Cost]]</f>
        <v>12600</v>
      </c>
      <c r="P861" t="str">
        <f>TEXT(tblOrders[[#This Row],[OrderDate]],"mmm")</f>
        <v>Feb</v>
      </c>
    </row>
    <row r="862" spans="1:16" x14ac:dyDescent="0.25">
      <c r="A862" t="s">
        <v>901</v>
      </c>
      <c r="B862" s="2">
        <v>45911</v>
      </c>
      <c r="C862" t="s">
        <v>45</v>
      </c>
      <c r="D862" t="s">
        <v>16</v>
      </c>
      <c r="E862" t="s">
        <v>33</v>
      </c>
      <c r="F862" t="s">
        <v>13</v>
      </c>
      <c r="G862">
        <v>12</v>
      </c>
      <c r="H862">
        <v>2000</v>
      </c>
      <c r="I862">
        <v>0</v>
      </c>
      <c r="J862" t="str">
        <f>_xlfn.XLOOKUP(tblOrders[[#This Row],[ProductID]],Products!$A$2:$A$9,Products!$B$2:$B$9,"Unknown")</f>
        <v>Headset</v>
      </c>
      <c r="K862" t="str">
        <f>_xlfn.XLOOKUP(tblOrders[[#This Row],[ProductID]],Products!$A$2:$A$9,Products!$C$2:$C$9,"Unknown")</f>
        <v>Accessories</v>
      </c>
      <c r="L862">
        <f>_xlfn.XLOOKUP(tblOrders[[#This Row],[ProductID]],Products!$A$2:$A$9,Products!$D$2:$D$9,0)</f>
        <v>1300</v>
      </c>
      <c r="M862">
        <f>tblOrders[[#This Row],[Quantity]]*tblOrders[[#This Row],[UnitPrice]]*(1-tblOrders[[#This Row],[Discount]])</f>
        <v>24000</v>
      </c>
      <c r="N862">
        <f>tblOrders[[#This Row],[Quantity]]*tblOrders[[#This Row],[UnitCost]]</f>
        <v>15600</v>
      </c>
      <c r="O862">
        <f>tblOrders[[#This Row],[Revenue]]-tblOrders[[#This Row],[Cost]]</f>
        <v>8400</v>
      </c>
      <c r="P862" t="str">
        <f>TEXT(tblOrders[[#This Row],[OrderDate]],"mmm")</f>
        <v>Sep</v>
      </c>
    </row>
    <row r="863" spans="1:16" x14ac:dyDescent="0.25">
      <c r="A863" t="s">
        <v>9</v>
      </c>
      <c r="B863" s="2">
        <v>45731</v>
      </c>
      <c r="C863" t="s">
        <v>10</v>
      </c>
      <c r="D863" t="s">
        <v>11</v>
      </c>
      <c r="E863" t="s">
        <v>12</v>
      </c>
      <c r="F863" t="s">
        <v>13</v>
      </c>
      <c r="G863">
        <v>5</v>
      </c>
      <c r="H863">
        <v>2000</v>
      </c>
      <c r="I863">
        <v>0.15</v>
      </c>
      <c r="J863" t="str">
        <f>_xlfn.XLOOKUP(tblOrders[[#This Row],[ProductID]],Products!$A$2:$A$9,Products!$B$2:$B$9,"Unknown")</f>
        <v>Headset</v>
      </c>
      <c r="K863" t="str">
        <f>_xlfn.XLOOKUP(tblOrders[[#This Row],[ProductID]],Products!$A$2:$A$9,Products!$C$2:$C$9,"Unknown")</f>
        <v>Accessories</v>
      </c>
      <c r="L863">
        <f>_xlfn.XLOOKUP(tblOrders[[#This Row],[ProductID]],Products!$A$2:$A$9,Products!$D$2:$D$9,0)</f>
        <v>1300</v>
      </c>
      <c r="M863">
        <f>tblOrders[[#This Row],[Quantity]]*tblOrders[[#This Row],[UnitPrice]]*(1-tblOrders[[#This Row],[Discount]])</f>
        <v>8500</v>
      </c>
      <c r="N863">
        <f>tblOrders[[#This Row],[Quantity]]*tblOrders[[#This Row],[UnitCost]]</f>
        <v>6500</v>
      </c>
      <c r="O863">
        <f>tblOrders[[#This Row],[Revenue]]-tblOrders[[#This Row],[Cost]]</f>
        <v>2000</v>
      </c>
      <c r="P863" t="str">
        <f>TEXT(tblOrders[[#This Row],[OrderDate]],"mmm")</f>
        <v>Mar</v>
      </c>
    </row>
    <row r="864" spans="1:16" x14ac:dyDescent="0.25">
      <c r="A864" t="s">
        <v>391</v>
      </c>
      <c r="B864" s="2">
        <v>45987</v>
      </c>
      <c r="C864" t="s">
        <v>130</v>
      </c>
      <c r="D864" t="s">
        <v>39</v>
      </c>
      <c r="E864" t="s">
        <v>76</v>
      </c>
      <c r="F864" t="s">
        <v>55</v>
      </c>
      <c r="G864">
        <v>12</v>
      </c>
      <c r="H864">
        <v>8000</v>
      </c>
      <c r="I864">
        <v>0.05</v>
      </c>
      <c r="J864" t="str">
        <f>_xlfn.XLOOKUP(tblOrders[[#This Row],[ProductID]],Products!$A$2:$A$9,Products!$B$2:$B$9,"Unknown")</f>
        <v>Printer</v>
      </c>
      <c r="K864" t="str">
        <f>_xlfn.XLOOKUP(tblOrders[[#This Row],[ProductID]],Products!$A$2:$A$9,Products!$C$2:$C$9,"Unknown")</f>
        <v>Electronics</v>
      </c>
      <c r="L864">
        <f>_xlfn.XLOOKUP(tblOrders[[#This Row],[ProductID]],Products!$A$2:$A$9,Products!$D$2:$D$9,0)</f>
        <v>6200</v>
      </c>
      <c r="M864">
        <f>tblOrders[[#This Row],[Quantity]]*tblOrders[[#This Row],[UnitPrice]]*(1-tblOrders[[#This Row],[Discount]])</f>
        <v>91200</v>
      </c>
      <c r="N864">
        <f>tblOrders[[#This Row],[Quantity]]*tblOrders[[#This Row],[UnitCost]]</f>
        <v>74400</v>
      </c>
      <c r="O864">
        <f>tblOrders[[#This Row],[Revenue]]-tblOrders[[#This Row],[Cost]]</f>
        <v>16800</v>
      </c>
      <c r="P864" t="str">
        <f>TEXT(tblOrders[[#This Row],[OrderDate]],"mmm")</f>
        <v>Nov</v>
      </c>
    </row>
    <row r="865" spans="1:16" x14ac:dyDescent="0.25">
      <c r="A865" t="s">
        <v>778</v>
      </c>
      <c r="B865" s="2">
        <v>45751</v>
      </c>
      <c r="C865" t="s">
        <v>155</v>
      </c>
      <c r="D865" t="s">
        <v>11</v>
      </c>
      <c r="E865" t="s">
        <v>12</v>
      </c>
      <c r="F865" t="s">
        <v>43</v>
      </c>
      <c r="G865">
        <v>3</v>
      </c>
      <c r="H865">
        <v>1500</v>
      </c>
      <c r="I865">
        <v>0.1</v>
      </c>
      <c r="J865" t="str">
        <f>_xlfn.XLOOKUP(tblOrders[[#This Row],[ProductID]],Products!$A$2:$A$9,Products!$B$2:$B$9,"Unknown")</f>
        <v>Webcam</v>
      </c>
      <c r="K865" t="str">
        <f>_xlfn.XLOOKUP(tblOrders[[#This Row],[ProductID]],Products!$A$2:$A$9,Products!$C$2:$C$9,"Unknown")</f>
        <v>Accessories</v>
      </c>
      <c r="L865">
        <f>_xlfn.XLOOKUP(tblOrders[[#This Row],[ProductID]],Products!$A$2:$A$9,Products!$D$2:$D$9,0)</f>
        <v>980</v>
      </c>
      <c r="M865">
        <f>tblOrders[[#This Row],[Quantity]]*tblOrders[[#This Row],[UnitPrice]]*(1-tblOrders[[#This Row],[Discount]])</f>
        <v>4050</v>
      </c>
      <c r="N865">
        <f>tblOrders[[#This Row],[Quantity]]*tblOrders[[#This Row],[UnitCost]]</f>
        <v>2940</v>
      </c>
      <c r="O865">
        <f>tblOrders[[#This Row],[Revenue]]-tblOrders[[#This Row],[Cost]]</f>
        <v>1110</v>
      </c>
      <c r="P865" t="str">
        <f>TEXT(tblOrders[[#This Row],[OrderDate]],"mmm")</f>
        <v>Apr</v>
      </c>
    </row>
    <row r="866" spans="1:16" x14ac:dyDescent="0.25">
      <c r="A866" t="s">
        <v>284</v>
      </c>
      <c r="B866" s="2">
        <v>45951</v>
      </c>
      <c r="C866" t="s">
        <v>66</v>
      </c>
      <c r="D866" t="s">
        <v>11</v>
      </c>
      <c r="E866" t="s">
        <v>12</v>
      </c>
      <c r="F866" t="s">
        <v>34</v>
      </c>
      <c r="G866">
        <v>10</v>
      </c>
      <c r="H866">
        <v>55000</v>
      </c>
      <c r="I866">
        <v>0</v>
      </c>
      <c r="J866" t="str">
        <f>_xlfn.XLOOKUP(tblOrders[[#This Row],[ProductID]],Products!$A$2:$A$9,Products!$B$2:$B$9,"Unknown")</f>
        <v>Laptop</v>
      </c>
      <c r="K866" t="str">
        <f>_xlfn.XLOOKUP(tblOrders[[#This Row],[ProductID]],Products!$A$2:$A$9,Products!$C$2:$C$9,"Unknown")</f>
        <v>Electronics</v>
      </c>
      <c r="L866">
        <f>_xlfn.XLOOKUP(tblOrders[[#This Row],[ProductID]],Products!$A$2:$A$9,Products!$D$2:$D$9,0)</f>
        <v>41000</v>
      </c>
      <c r="M866">
        <f>tblOrders[[#This Row],[Quantity]]*tblOrders[[#This Row],[UnitPrice]]*(1-tblOrders[[#This Row],[Discount]])</f>
        <v>550000</v>
      </c>
      <c r="N866">
        <f>tblOrders[[#This Row],[Quantity]]*tblOrders[[#This Row],[UnitCost]]</f>
        <v>410000</v>
      </c>
      <c r="O866">
        <f>tblOrders[[#This Row],[Revenue]]-tblOrders[[#This Row],[Cost]]</f>
        <v>140000</v>
      </c>
      <c r="P866" t="str">
        <f>TEXT(tblOrders[[#This Row],[OrderDate]],"mmm")</f>
        <v>Oct</v>
      </c>
    </row>
    <row r="867" spans="1:16" x14ac:dyDescent="0.25">
      <c r="A867" t="s">
        <v>645</v>
      </c>
      <c r="B867" s="2">
        <v>45935</v>
      </c>
      <c r="C867" t="s">
        <v>48</v>
      </c>
      <c r="D867" t="s">
        <v>11</v>
      </c>
      <c r="E867" t="s">
        <v>12</v>
      </c>
      <c r="F867" t="s">
        <v>23</v>
      </c>
      <c r="G867">
        <v>13</v>
      </c>
      <c r="H867">
        <v>900</v>
      </c>
      <c r="I867">
        <v>0.15</v>
      </c>
      <c r="J867" t="str">
        <f>_xlfn.XLOOKUP(tblOrders[[#This Row],[ProductID]],Products!$A$2:$A$9,Products!$B$2:$B$9,"Unknown")</f>
        <v>Keyboard</v>
      </c>
      <c r="K867" t="str">
        <f>_xlfn.XLOOKUP(tblOrders[[#This Row],[ProductID]],Products!$A$2:$A$9,Products!$C$2:$C$9,"Unknown")</f>
        <v>Accessories</v>
      </c>
      <c r="L867">
        <f>_xlfn.XLOOKUP(tblOrders[[#This Row],[ProductID]],Products!$A$2:$A$9,Products!$D$2:$D$9,0)</f>
        <v>600</v>
      </c>
      <c r="M867">
        <f>tblOrders[[#This Row],[Quantity]]*tblOrders[[#This Row],[UnitPrice]]*(1-tblOrders[[#This Row],[Discount]])</f>
        <v>9945</v>
      </c>
      <c r="N867">
        <f>tblOrders[[#This Row],[Quantity]]*tblOrders[[#This Row],[UnitCost]]</f>
        <v>7800</v>
      </c>
      <c r="O867">
        <f>tblOrders[[#This Row],[Revenue]]-tblOrders[[#This Row],[Cost]]</f>
        <v>2145</v>
      </c>
      <c r="P867" t="str">
        <f>TEXT(tblOrders[[#This Row],[OrderDate]],"mmm")</f>
        <v>Oct</v>
      </c>
    </row>
    <row r="868" spans="1:16" x14ac:dyDescent="0.25">
      <c r="A868" t="s">
        <v>247</v>
      </c>
      <c r="B868" s="2">
        <v>45816</v>
      </c>
      <c r="C868" t="s">
        <v>50</v>
      </c>
      <c r="D868" t="s">
        <v>16</v>
      </c>
      <c r="E868" t="s">
        <v>17</v>
      </c>
      <c r="F868" t="s">
        <v>55</v>
      </c>
      <c r="G868">
        <v>7</v>
      </c>
      <c r="H868">
        <v>8000</v>
      </c>
      <c r="I868">
        <v>0</v>
      </c>
      <c r="J868" t="str">
        <f>_xlfn.XLOOKUP(tblOrders[[#This Row],[ProductID]],Products!$A$2:$A$9,Products!$B$2:$B$9,"Unknown")</f>
        <v>Printer</v>
      </c>
      <c r="K868" t="str">
        <f>_xlfn.XLOOKUP(tblOrders[[#This Row],[ProductID]],Products!$A$2:$A$9,Products!$C$2:$C$9,"Unknown")</f>
        <v>Electronics</v>
      </c>
      <c r="L868">
        <f>_xlfn.XLOOKUP(tblOrders[[#This Row],[ProductID]],Products!$A$2:$A$9,Products!$D$2:$D$9,0)</f>
        <v>6200</v>
      </c>
      <c r="M868">
        <f>tblOrders[[#This Row],[Quantity]]*tblOrders[[#This Row],[UnitPrice]]*(1-tblOrders[[#This Row],[Discount]])</f>
        <v>56000</v>
      </c>
      <c r="N868">
        <f>tblOrders[[#This Row],[Quantity]]*tblOrders[[#This Row],[UnitCost]]</f>
        <v>43400</v>
      </c>
      <c r="O868">
        <f>tblOrders[[#This Row],[Revenue]]-tblOrders[[#This Row],[Cost]]</f>
        <v>12600</v>
      </c>
      <c r="P868" t="str">
        <f>TEXT(tblOrders[[#This Row],[OrderDate]],"mmm")</f>
        <v>Jun</v>
      </c>
    </row>
    <row r="869" spans="1:16" x14ac:dyDescent="0.25">
      <c r="A869" t="s">
        <v>98</v>
      </c>
      <c r="B869" s="2">
        <v>45788</v>
      </c>
      <c r="C869" t="s">
        <v>99</v>
      </c>
      <c r="D869" t="s">
        <v>21</v>
      </c>
      <c r="E869" t="s">
        <v>22</v>
      </c>
      <c r="F869" t="s">
        <v>23</v>
      </c>
      <c r="G869">
        <v>10</v>
      </c>
      <c r="H869">
        <v>900</v>
      </c>
      <c r="I869">
        <v>0.05</v>
      </c>
      <c r="J869" t="str">
        <f>_xlfn.XLOOKUP(tblOrders[[#This Row],[ProductID]],Products!$A$2:$A$9,Products!$B$2:$B$9,"Unknown")</f>
        <v>Keyboard</v>
      </c>
      <c r="K869" t="str">
        <f>_xlfn.XLOOKUP(tblOrders[[#This Row],[ProductID]],Products!$A$2:$A$9,Products!$C$2:$C$9,"Unknown")</f>
        <v>Accessories</v>
      </c>
      <c r="L869">
        <f>_xlfn.XLOOKUP(tblOrders[[#This Row],[ProductID]],Products!$A$2:$A$9,Products!$D$2:$D$9,0)</f>
        <v>600</v>
      </c>
      <c r="M869">
        <f>tblOrders[[#This Row],[Quantity]]*tblOrders[[#This Row],[UnitPrice]]*(1-tblOrders[[#This Row],[Discount]])</f>
        <v>8550</v>
      </c>
      <c r="N869">
        <f>tblOrders[[#This Row],[Quantity]]*tblOrders[[#This Row],[UnitCost]]</f>
        <v>6000</v>
      </c>
      <c r="O869">
        <f>tblOrders[[#This Row],[Revenue]]-tblOrders[[#This Row],[Cost]]</f>
        <v>2550</v>
      </c>
      <c r="P869" t="str">
        <f>TEXT(tblOrders[[#This Row],[OrderDate]],"mmm")</f>
        <v>May</v>
      </c>
    </row>
    <row r="870" spans="1:16" x14ac:dyDescent="0.25">
      <c r="A870" t="s">
        <v>289</v>
      </c>
      <c r="B870" s="2">
        <v>45800</v>
      </c>
      <c r="C870" t="s">
        <v>82</v>
      </c>
      <c r="D870" t="s">
        <v>11</v>
      </c>
      <c r="E870" t="s">
        <v>12</v>
      </c>
      <c r="F870" t="s">
        <v>43</v>
      </c>
      <c r="G870">
        <v>9</v>
      </c>
      <c r="H870">
        <v>1500</v>
      </c>
      <c r="I870">
        <v>0.1</v>
      </c>
      <c r="J870" t="str">
        <f>_xlfn.XLOOKUP(tblOrders[[#This Row],[ProductID]],Products!$A$2:$A$9,Products!$B$2:$B$9,"Unknown")</f>
        <v>Webcam</v>
      </c>
      <c r="K870" t="str">
        <f>_xlfn.XLOOKUP(tblOrders[[#This Row],[ProductID]],Products!$A$2:$A$9,Products!$C$2:$C$9,"Unknown")</f>
        <v>Accessories</v>
      </c>
      <c r="L870">
        <f>_xlfn.XLOOKUP(tblOrders[[#This Row],[ProductID]],Products!$A$2:$A$9,Products!$D$2:$D$9,0)</f>
        <v>980</v>
      </c>
      <c r="M870">
        <f>tblOrders[[#This Row],[Quantity]]*tblOrders[[#This Row],[UnitPrice]]*(1-tblOrders[[#This Row],[Discount]])</f>
        <v>12150</v>
      </c>
      <c r="N870">
        <f>tblOrders[[#This Row],[Quantity]]*tblOrders[[#This Row],[UnitCost]]</f>
        <v>8820</v>
      </c>
      <c r="O870">
        <f>tblOrders[[#This Row],[Revenue]]-tblOrders[[#This Row],[Cost]]</f>
        <v>3330</v>
      </c>
      <c r="P870" t="str">
        <f>TEXT(tblOrders[[#This Row],[OrderDate]],"mmm")</f>
        <v>May</v>
      </c>
    </row>
    <row r="871" spans="1:16" x14ac:dyDescent="0.25">
      <c r="A871" t="s">
        <v>897</v>
      </c>
      <c r="B871" s="2">
        <v>45874</v>
      </c>
      <c r="C871" t="s">
        <v>171</v>
      </c>
      <c r="D871" t="s">
        <v>39</v>
      </c>
      <c r="E871" t="s">
        <v>40</v>
      </c>
      <c r="F871" t="s">
        <v>13</v>
      </c>
      <c r="G871">
        <v>6</v>
      </c>
      <c r="H871">
        <v>2000</v>
      </c>
      <c r="I871">
        <v>0</v>
      </c>
      <c r="J871" t="str">
        <f>_xlfn.XLOOKUP(tblOrders[[#This Row],[ProductID]],Products!$A$2:$A$9,Products!$B$2:$B$9,"Unknown")</f>
        <v>Headset</v>
      </c>
      <c r="K871" t="str">
        <f>_xlfn.XLOOKUP(tblOrders[[#This Row],[ProductID]],Products!$A$2:$A$9,Products!$C$2:$C$9,"Unknown")</f>
        <v>Accessories</v>
      </c>
      <c r="L871">
        <f>_xlfn.XLOOKUP(tblOrders[[#This Row],[ProductID]],Products!$A$2:$A$9,Products!$D$2:$D$9,0)</f>
        <v>1300</v>
      </c>
      <c r="M871">
        <f>tblOrders[[#This Row],[Quantity]]*tblOrders[[#This Row],[UnitPrice]]*(1-tblOrders[[#This Row],[Discount]])</f>
        <v>12000</v>
      </c>
      <c r="N871">
        <f>tblOrders[[#This Row],[Quantity]]*tblOrders[[#This Row],[UnitCost]]</f>
        <v>7800</v>
      </c>
      <c r="O871">
        <f>tblOrders[[#This Row],[Revenue]]-tblOrders[[#This Row],[Cost]]</f>
        <v>4200</v>
      </c>
      <c r="P871" t="str">
        <f>TEXT(tblOrders[[#This Row],[OrderDate]],"mmm")</f>
        <v>Aug</v>
      </c>
    </row>
    <row r="872" spans="1:16" x14ac:dyDescent="0.25">
      <c r="A872" t="s">
        <v>950</v>
      </c>
      <c r="B872" s="2">
        <v>45782</v>
      </c>
      <c r="C872" t="s">
        <v>153</v>
      </c>
      <c r="D872" t="s">
        <v>39</v>
      </c>
      <c r="E872" t="s">
        <v>76</v>
      </c>
      <c r="F872" t="s">
        <v>34</v>
      </c>
      <c r="G872">
        <v>1</v>
      </c>
      <c r="H872">
        <v>55000</v>
      </c>
      <c r="I872">
        <v>0.05</v>
      </c>
      <c r="J872" t="str">
        <f>_xlfn.XLOOKUP(tblOrders[[#This Row],[ProductID]],Products!$A$2:$A$9,Products!$B$2:$B$9,"Unknown")</f>
        <v>Laptop</v>
      </c>
      <c r="K872" t="str">
        <f>_xlfn.XLOOKUP(tblOrders[[#This Row],[ProductID]],Products!$A$2:$A$9,Products!$C$2:$C$9,"Unknown")</f>
        <v>Electronics</v>
      </c>
      <c r="L872">
        <f>_xlfn.XLOOKUP(tblOrders[[#This Row],[ProductID]],Products!$A$2:$A$9,Products!$D$2:$D$9,0)</f>
        <v>41000</v>
      </c>
      <c r="M872">
        <f>tblOrders[[#This Row],[Quantity]]*tblOrders[[#This Row],[UnitPrice]]*(1-tblOrders[[#This Row],[Discount]])</f>
        <v>52250</v>
      </c>
      <c r="N872">
        <f>tblOrders[[#This Row],[Quantity]]*tblOrders[[#This Row],[UnitCost]]</f>
        <v>41000</v>
      </c>
      <c r="O872">
        <f>tblOrders[[#This Row],[Revenue]]-tblOrders[[#This Row],[Cost]]</f>
        <v>11250</v>
      </c>
      <c r="P872" t="str">
        <f>TEXT(tblOrders[[#This Row],[OrderDate]],"mmm")</f>
        <v>May</v>
      </c>
    </row>
    <row r="873" spans="1:16" x14ac:dyDescent="0.25">
      <c r="A873" t="s">
        <v>450</v>
      </c>
      <c r="B873" s="2">
        <v>45821</v>
      </c>
      <c r="C873" t="s">
        <v>50</v>
      </c>
      <c r="D873" t="s">
        <v>11</v>
      </c>
      <c r="E873" t="s">
        <v>46</v>
      </c>
      <c r="F873" t="s">
        <v>43</v>
      </c>
      <c r="G873">
        <v>15</v>
      </c>
      <c r="H873">
        <v>1500</v>
      </c>
      <c r="I873">
        <v>0</v>
      </c>
      <c r="J873" t="str">
        <f>_xlfn.XLOOKUP(tblOrders[[#This Row],[ProductID]],Products!$A$2:$A$9,Products!$B$2:$B$9,"Unknown")</f>
        <v>Webcam</v>
      </c>
      <c r="K873" t="str">
        <f>_xlfn.XLOOKUP(tblOrders[[#This Row],[ProductID]],Products!$A$2:$A$9,Products!$C$2:$C$9,"Unknown")</f>
        <v>Accessories</v>
      </c>
      <c r="L873">
        <f>_xlfn.XLOOKUP(tblOrders[[#This Row],[ProductID]],Products!$A$2:$A$9,Products!$D$2:$D$9,0)</f>
        <v>980</v>
      </c>
      <c r="M873">
        <f>tblOrders[[#This Row],[Quantity]]*tblOrders[[#This Row],[UnitPrice]]*(1-tblOrders[[#This Row],[Discount]])</f>
        <v>22500</v>
      </c>
      <c r="N873">
        <f>tblOrders[[#This Row],[Quantity]]*tblOrders[[#This Row],[UnitCost]]</f>
        <v>14700</v>
      </c>
      <c r="O873">
        <f>tblOrders[[#This Row],[Revenue]]-tblOrders[[#This Row],[Cost]]</f>
        <v>7800</v>
      </c>
      <c r="P873" t="str">
        <f>TEXT(tblOrders[[#This Row],[OrderDate]],"mmm")</f>
        <v>Jun</v>
      </c>
    </row>
    <row r="874" spans="1:16" x14ac:dyDescent="0.25">
      <c r="A874" t="s">
        <v>530</v>
      </c>
      <c r="B874" s="2">
        <v>45837</v>
      </c>
      <c r="C874" t="s">
        <v>32</v>
      </c>
      <c r="D874" t="s">
        <v>11</v>
      </c>
      <c r="E874" t="s">
        <v>12</v>
      </c>
      <c r="F874" t="s">
        <v>13</v>
      </c>
      <c r="G874">
        <v>7</v>
      </c>
      <c r="H874">
        <v>2000</v>
      </c>
      <c r="I874">
        <v>0</v>
      </c>
      <c r="J874" t="str">
        <f>_xlfn.XLOOKUP(tblOrders[[#This Row],[ProductID]],Products!$A$2:$A$9,Products!$B$2:$B$9,"Unknown")</f>
        <v>Headset</v>
      </c>
      <c r="K874" t="str">
        <f>_xlfn.XLOOKUP(tblOrders[[#This Row],[ProductID]],Products!$A$2:$A$9,Products!$C$2:$C$9,"Unknown")</f>
        <v>Accessories</v>
      </c>
      <c r="L874">
        <f>_xlfn.XLOOKUP(tblOrders[[#This Row],[ProductID]],Products!$A$2:$A$9,Products!$D$2:$D$9,0)</f>
        <v>1300</v>
      </c>
      <c r="M874">
        <f>tblOrders[[#This Row],[Quantity]]*tblOrders[[#This Row],[UnitPrice]]*(1-tblOrders[[#This Row],[Discount]])</f>
        <v>14000</v>
      </c>
      <c r="N874">
        <f>tblOrders[[#This Row],[Quantity]]*tblOrders[[#This Row],[UnitCost]]</f>
        <v>9100</v>
      </c>
      <c r="O874">
        <f>tblOrders[[#This Row],[Revenue]]-tblOrders[[#This Row],[Cost]]</f>
        <v>4900</v>
      </c>
      <c r="P874" t="str">
        <f>TEXT(tblOrders[[#This Row],[OrderDate]],"mmm")</f>
        <v>Jun</v>
      </c>
    </row>
    <row r="875" spans="1:16" x14ac:dyDescent="0.25">
      <c r="A875" t="s">
        <v>112</v>
      </c>
      <c r="B875" s="2">
        <v>45786</v>
      </c>
      <c r="C875" t="s">
        <v>113</v>
      </c>
      <c r="D875" t="s">
        <v>39</v>
      </c>
      <c r="E875" t="s">
        <v>40</v>
      </c>
      <c r="F875" t="s">
        <v>43</v>
      </c>
      <c r="G875">
        <v>13</v>
      </c>
      <c r="H875">
        <v>1500</v>
      </c>
      <c r="I875">
        <v>0</v>
      </c>
      <c r="J875" t="str">
        <f>_xlfn.XLOOKUP(tblOrders[[#This Row],[ProductID]],Products!$A$2:$A$9,Products!$B$2:$B$9,"Unknown")</f>
        <v>Webcam</v>
      </c>
      <c r="K875" t="str">
        <f>_xlfn.XLOOKUP(tblOrders[[#This Row],[ProductID]],Products!$A$2:$A$9,Products!$C$2:$C$9,"Unknown")</f>
        <v>Accessories</v>
      </c>
      <c r="L875">
        <f>_xlfn.XLOOKUP(tblOrders[[#This Row],[ProductID]],Products!$A$2:$A$9,Products!$D$2:$D$9,0)</f>
        <v>980</v>
      </c>
      <c r="M875">
        <f>tblOrders[[#This Row],[Quantity]]*tblOrders[[#This Row],[UnitPrice]]*(1-tblOrders[[#This Row],[Discount]])</f>
        <v>19500</v>
      </c>
      <c r="N875">
        <f>tblOrders[[#This Row],[Quantity]]*tblOrders[[#This Row],[UnitCost]]</f>
        <v>12740</v>
      </c>
      <c r="O875">
        <f>tblOrders[[#This Row],[Revenue]]-tblOrders[[#This Row],[Cost]]</f>
        <v>6760</v>
      </c>
      <c r="P875" t="str">
        <f>TEXT(tblOrders[[#This Row],[OrderDate]],"mmm")</f>
        <v>May</v>
      </c>
    </row>
    <row r="876" spans="1:16" x14ac:dyDescent="0.25">
      <c r="A876" t="s">
        <v>431</v>
      </c>
      <c r="B876" s="2">
        <v>45848</v>
      </c>
      <c r="C876" t="s">
        <v>42</v>
      </c>
      <c r="D876" t="s">
        <v>39</v>
      </c>
      <c r="E876" t="s">
        <v>76</v>
      </c>
      <c r="F876" t="s">
        <v>34</v>
      </c>
      <c r="G876">
        <v>12</v>
      </c>
      <c r="H876">
        <v>55000</v>
      </c>
      <c r="I876">
        <v>0.05</v>
      </c>
      <c r="J876" t="str">
        <f>_xlfn.XLOOKUP(tblOrders[[#This Row],[ProductID]],Products!$A$2:$A$9,Products!$B$2:$B$9,"Unknown")</f>
        <v>Laptop</v>
      </c>
      <c r="K876" t="str">
        <f>_xlfn.XLOOKUP(tblOrders[[#This Row],[ProductID]],Products!$A$2:$A$9,Products!$C$2:$C$9,"Unknown")</f>
        <v>Electronics</v>
      </c>
      <c r="L876">
        <f>_xlfn.XLOOKUP(tblOrders[[#This Row],[ProductID]],Products!$A$2:$A$9,Products!$D$2:$D$9,0)</f>
        <v>41000</v>
      </c>
      <c r="M876">
        <f>tblOrders[[#This Row],[Quantity]]*tblOrders[[#This Row],[UnitPrice]]*(1-tblOrders[[#This Row],[Discount]])</f>
        <v>627000</v>
      </c>
      <c r="N876">
        <f>tblOrders[[#This Row],[Quantity]]*tblOrders[[#This Row],[UnitCost]]</f>
        <v>492000</v>
      </c>
      <c r="O876">
        <f>tblOrders[[#This Row],[Revenue]]-tblOrders[[#This Row],[Cost]]</f>
        <v>135000</v>
      </c>
      <c r="P876" t="str">
        <f>TEXT(tblOrders[[#This Row],[OrderDate]],"mmm")</f>
        <v>Jul</v>
      </c>
    </row>
    <row r="877" spans="1:16" x14ac:dyDescent="0.25">
      <c r="A877" t="s">
        <v>539</v>
      </c>
      <c r="B877" s="2">
        <v>45931</v>
      </c>
      <c r="C877" t="s">
        <v>136</v>
      </c>
      <c r="D877" t="s">
        <v>16</v>
      </c>
      <c r="E877" t="s">
        <v>33</v>
      </c>
      <c r="F877" t="s">
        <v>23</v>
      </c>
      <c r="G877">
        <v>4</v>
      </c>
      <c r="H877">
        <v>900</v>
      </c>
      <c r="I877">
        <v>0</v>
      </c>
      <c r="J877" t="str">
        <f>_xlfn.XLOOKUP(tblOrders[[#This Row],[ProductID]],Products!$A$2:$A$9,Products!$B$2:$B$9,"Unknown")</f>
        <v>Keyboard</v>
      </c>
      <c r="K877" t="str">
        <f>_xlfn.XLOOKUP(tblOrders[[#This Row],[ProductID]],Products!$A$2:$A$9,Products!$C$2:$C$9,"Unknown")</f>
        <v>Accessories</v>
      </c>
      <c r="L877">
        <f>_xlfn.XLOOKUP(tblOrders[[#This Row],[ProductID]],Products!$A$2:$A$9,Products!$D$2:$D$9,0)</f>
        <v>600</v>
      </c>
      <c r="M877">
        <f>tblOrders[[#This Row],[Quantity]]*tblOrders[[#This Row],[UnitPrice]]*(1-tblOrders[[#This Row],[Discount]])</f>
        <v>3600</v>
      </c>
      <c r="N877">
        <f>tblOrders[[#This Row],[Quantity]]*tblOrders[[#This Row],[UnitCost]]</f>
        <v>2400</v>
      </c>
      <c r="O877">
        <f>tblOrders[[#This Row],[Revenue]]-tblOrders[[#This Row],[Cost]]</f>
        <v>1200</v>
      </c>
      <c r="P877" t="str">
        <f>TEXT(tblOrders[[#This Row],[OrderDate]],"mmm")</f>
        <v>Oct</v>
      </c>
    </row>
    <row r="878" spans="1:16" x14ac:dyDescent="0.25">
      <c r="A878" t="s">
        <v>386</v>
      </c>
      <c r="B878" s="2">
        <v>45771</v>
      </c>
      <c r="C878" t="s">
        <v>97</v>
      </c>
      <c r="D878" t="s">
        <v>16</v>
      </c>
      <c r="E878" t="s">
        <v>17</v>
      </c>
      <c r="F878" t="s">
        <v>43</v>
      </c>
      <c r="G878">
        <v>1</v>
      </c>
      <c r="H878">
        <v>1500</v>
      </c>
      <c r="I878">
        <v>0</v>
      </c>
      <c r="J878" t="str">
        <f>_xlfn.XLOOKUP(tblOrders[[#This Row],[ProductID]],Products!$A$2:$A$9,Products!$B$2:$B$9,"Unknown")</f>
        <v>Webcam</v>
      </c>
      <c r="K878" t="str">
        <f>_xlfn.XLOOKUP(tblOrders[[#This Row],[ProductID]],Products!$A$2:$A$9,Products!$C$2:$C$9,"Unknown")</f>
        <v>Accessories</v>
      </c>
      <c r="L878">
        <f>_xlfn.XLOOKUP(tblOrders[[#This Row],[ProductID]],Products!$A$2:$A$9,Products!$D$2:$D$9,0)</f>
        <v>980</v>
      </c>
      <c r="M878">
        <f>tblOrders[[#This Row],[Quantity]]*tblOrders[[#This Row],[UnitPrice]]*(1-tblOrders[[#This Row],[Discount]])</f>
        <v>1500</v>
      </c>
      <c r="N878">
        <f>tblOrders[[#This Row],[Quantity]]*tblOrders[[#This Row],[UnitCost]]</f>
        <v>980</v>
      </c>
      <c r="O878">
        <f>tblOrders[[#This Row],[Revenue]]-tblOrders[[#This Row],[Cost]]</f>
        <v>520</v>
      </c>
      <c r="P878" t="str">
        <f>TEXT(tblOrders[[#This Row],[OrderDate]],"mmm")</f>
        <v>Apr</v>
      </c>
    </row>
    <row r="879" spans="1:16" x14ac:dyDescent="0.25">
      <c r="A879" t="s">
        <v>746</v>
      </c>
      <c r="B879" s="2">
        <v>45975</v>
      </c>
      <c r="C879" t="s">
        <v>45</v>
      </c>
      <c r="D879" t="s">
        <v>39</v>
      </c>
      <c r="E879" t="s">
        <v>76</v>
      </c>
      <c r="F879" t="s">
        <v>43</v>
      </c>
      <c r="G879">
        <v>11</v>
      </c>
      <c r="H879">
        <v>1500</v>
      </c>
      <c r="I879">
        <v>0.15</v>
      </c>
      <c r="J879" t="str">
        <f>_xlfn.XLOOKUP(tblOrders[[#This Row],[ProductID]],Products!$A$2:$A$9,Products!$B$2:$B$9,"Unknown")</f>
        <v>Webcam</v>
      </c>
      <c r="K879" t="str">
        <f>_xlfn.XLOOKUP(tblOrders[[#This Row],[ProductID]],Products!$A$2:$A$9,Products!$C$2:$C$9,"Unknown")</f>
        <v>Accessories</v>
      </c>
      <c r="L879">
        <f>_xlfn.XLOOKUP(tblOrders[[#This Row],[ProductID]],Products!$A$2:$A$9,Products!$D$2:$D$9,0)</f>
        <v>980</v>
      </c>
      <c r="M879">
        <f>tblOrders[[#This Row],[Quantity]]*tblOrders[[#This Row],[UnitPrice]]*(1-tblOrders[[#This Row],[Discount]])</f>
        <v>14025</v>
      </c>
      <c r="N879">
        <f>tblOrders[[#This Row],[Quantity]]*tblOrders[[#This Row],[UnitCost]]</f>
        <v>10780</v>
      </c>
      <c r="O879">
        <f>tblOrders[[#This Row],[Revenue]]-tblOrders[[#This Row],[Cost]]</f>
        <v>3245</v>
      </c>
      <c r="P879" t="str">
        <f>TEXT(tblOrders[[#This Row],[OrderDate]],"mmm")</f>
        <v>Nov</v>
      </c>
    </row>
    <row r="880" spans="1:16" x14ac:dyDescent="0.25">
      <c r="A880" t="s">
        <v>635</v>
      </c>
      <c r="B880" s="2">
        <v>45715</v>
      </c>
      <c r="C880" t="s">
        <v>153</v>
      </c>
      <c r="D880" t="s">
        <v>39</v>
      </c>
      <c r="E880" t="s">
        <v>76</v>
      </c>
      <c r="F880" t="s">
        <v>64</v>
      </c>
      <c r="G880">
        <v>2</v>
      </c>
      <c r="H880">
        <v>500</v>
      </c>
      <c r="I880">
        <v>0.1</v>
      </c>
      <c r="J880" t="str">
        <f>_xlfn.XLOOKUP(tblOrders[[#This Row],[ProductID]],Products!$A$2:$A$9,Products!$B$2:$B$9,"Unknown")</f>
        <v>Mouse</v>
      </c>
      <c r="K880" t="str">
        <f>_xlfn.XLOOKUP(tblOrders[[#This Row],[ProductID]],Products!$A$2:$A$9,Products!$C$2:$C$9,"Unknown")</f>
        <v>Accessories</v>
      </c>
      <c r="L880">
        <f>_xlfn.XLOOKUP(tblOrders[[#This Row],[ProductID]],Products!$A$2:$A$9,Products!$D$2:$D$9,0)</f>
        <v>320</v>
      </c>
      <c r="M880">
        <f>tblOrders[[#This Row],[Quantity]]*tblOrders[[#This Row],[UnitPrice]]*(1-tblOrders[[#This Row],[Discount]])</f>
        <v>900</v>
      </c>
      <c r="N880">
        <f>tblOrders[[#This Row],[Quantity]]*tblOrders[[#This Row],[UnitCost]]</f>
        <v>640</v>
      </c>
      <c r="O880">
        <f>tblOrders[[#This Row],[Revenue]]-tblOrders[[#This Row],[Cost]]</f>
        <v>260</v>
      </c>
      <c r="P880" t="str">
        <f>TEXT(tblOrders[[#This Row],[OrderDate]],"mmm")</f>
        <v>Feb</v>
      </c>
    </row>
    <row r="881" spans="1:16" x14ac:dyDescent="0.25">
      <c r="A881" t="s">
        <v>674</v>
      </c>
      <c r="B881" s="2">
        <v>45972</v>
      </c>
      <c r="C881" t="s">
        <v>155</v>
      </c>
      <c r="D881" t="s">
        <v>11</v>
      </c>
      <c r="E881" t="s">
        <v>46</v>
      </c>
      <c r="F881" t="s">
        <v>23</v>
      </c>
      <c r="G881">
        <v>12</v>
      </c>
      <c r="H881">
        <v>900</v>
      </c>
      <c r="I881">
        <v>0.05</v>
      </c>
      <c r="J881" t="str">
        <f>_xlfn.XLOOKUP(tblOrders[[#This Row],[ProductID]],Products!$A$2:$A$9,Products!$B$2:$B$9,"Unknown")</f>
        <v>Keyboard</v>
      </c>
      <c r="K881" t="str">
        <f>_xlfn.XLOOKUP(tblOrders[[#This Row],[ProductID]],Products!$A$2:$A$9,Products!$C$2:$C$9,"Unknown")</f>
        <v>Accessories</v>
      </c>
      <c r="L881">
        <f>_xlfn.XLOOKUP(tblOrders[[#This Row],[ProductID]],Products!$A$2:$A$9,Products!$D$2:$D$9,0)</f>
        <v>600</v>
      </c>
      <c r="M881">
        <f>tblOrders[[#This Row],[Quantity]]*tblOrders[[#This Row],[UnitPrice]]*(1-tblOrders[[#This Row],[Discount]])</f>
        <v>10260</v>
      </c>
      <c r="N881">
        <f>tblOrders[[#This Row],[Quantity]]*tblOrders[[#This Row],[UnitCost]]</f>
        <v>7200</v>
      </c>
      <c r="O881">
        <f>tblOrders[[#This Row],[Revenue]]-tblOrders[[#This Row],[Cost]]</f>
        <v>3060</v>
      </c>
      <c r="P881" t="str">
        <f>TEXT(tblOrders[[#This Row],[OrderDate]],"mmm")</f>
        <v>Nov</v>
      </c>
    </row>
    <row r="882" spans="1:16" x14ac:dyDescent="0.25">
      <c r="A882" t="s">
        <v>486</v>
      </c>
      <c r="B882" s="2">
        <v>45694</v>
      </c>
      <c r="C882" t="s">
        <v>57</v>
      </c>
      <c r="D882" t="s">
        <v>11</v>
      </c>
      <c r="E882" t="s">
        <v>12</v>
      </c>
      <c r="F882" t="s">
        <v>34</v>
      </c>
      <c r="G882">
        <v>4</v>
      </c>
      <c r="H882">
        <v>55000</v>
      </c>
      <c r="I882">
        <v>0.05</v>
      </c>
      <c r="J882" t="str">
        <f>_xlfn.XLOOKUP(tblOrders[[#This Row],[ProductID]],Products!$A$2:$A$9,Products!$B$2:$B$9,"Unknown")</f>
        <v>Laptop</v>
      </c>
      <c r="K882" t="str">
        <f>_xlfn.XLOOKUP(tblOrders[[#This Row],[ProductID]],Products!$A$2:$A$9,Products!$C$2:$C$9,"Unknown")</f>
        <v>Electronics</v>
      </c>
      <c r="L882">
        <f>_xlfn.XLOOKUP(tblOrders[[#This Row],[ProductID]],Products!$A$2:$A$9,Products!$D$2:$D$9,0)</f>
        <v>41000</v>
      </c>
      <c r="M882">
        <f>tblOrders[[#This Row],[Quantity]]*tblOrders[[#This Row],[UnitPrice]]*(1-tblOrders[[#This Row],[Discount]])</f>
        <v>209000</v>
      </c>
      <c r="N882">
        <f>tblOrders[[#This Row],[Quantity]]*tblOrders[[#This Row],[UnitCost]]</f>
        <v>164000</v>
      </c>
      <c r="O882">
        <f>tblOrders[[#This Row],[Revenue]]-tblOrders[[#This Row],[Cost]]</f>
        <v>45000</v>
      </c>
      <c r="P882" t="str">
        <f>TEXT(tblOrders[[#This Row],[OrderDate]],"mmm")</f>
        <v>Feb</v>
      </c>
    </row>
    <row r="883" spans="1:16" x14ac:dyDescent="0.25">
      <c r="A883" t="s">
        <v>318</v>
      </c>
      <c r="B883" s="2">
        <v>45962</v>
      </c>
      <c r="C883" t="s">
        <v>82</v>
      </c>
      <c r="D883" t="s">
        <v>39</v>
      </c>
      <c r="E883" t="s">
        <v>40</v>
      </c>
      <c r="F883" t="s">
        <v>69</v>
      </c>
      <c r="G883">
        <v>12</v>
      </c>
      <c r="H883">
        <v>12000</v>
      </c>
      <c r="I883">
        <v>0</v>
      </c>
      <c r="J883" t="str">
        <f>_xlfn.XLOOKUP(tblOrders[[#This Row],[ProductID]],Products!$A$2:$A$9,Products!$B$2:$B$9,"Unknown")</f>
        <v>Monitor</v>
      </c>
      <c r="K883" t="str">
        <f>_xlfn.XLOOKUP(tblOrders[[#This Row],[ProductID]],Products!$A$2:$A$9,Products!$C$2:$C$9,"Unknown")</f>
        <v>Electronics</v>
      </c>
      <c r="L883">
        <f>_xlfn.XLOOKUP(tblOrders[[#This Row],[ProductID]],Products!$A$2:$A$9,Products!$D$2:$D$9,0)</f>
        <v>9000</v>
      </c>
      <c r="M883">
        <f>tblOrders[[#This Row],[Quantity]]*tblOrders[[#This Row],[UnitPrice]]*(1-tblOrders[[#This Row],[Discount]])</f>
        <v>144000</v>
      </c>
      <c r="N883">
        <f>tblOrders[[#This Row],[Quantity]]*tblOrders[[#This Row],[UnitCost]]</f>
        <v>108000</v>
      </c>
      <c r="O883">
        <f>tblOrders[[#This Row],[Revenue]]-tblOrders[[#This Row],[Cost]]</f>
        <v>36000</v>
      </c>
      <c r="P883" t="str">
        <f>TEXT(tblOrders[[#This Row],[OrderDate]],"mmm")</f>
        <v>Nov</v>
      </c>
    </row>
    <row r="884" spans="1:16" x14ac:dyDescent="0.25">
      <c r="A884" t="s">
        <v>456</v>
      </c>
      <c r="B884" s="2">
        <v>45692</v>
      </c>
      <c r="C884" t="s">
        <v>61</v>
      </c>
      <c r="D884" t="s">
        <v>21</v>
      </c>
      <c r="E884" t="s">
        <v>28</v>
      </c>
      <c r="F884" t="s">
        <v>23</v>
      </c>
      <c r="G884">
        <v>3</v>
      </c>
      <c r="H884">
        <v>900</v>
      </c>
      <c r="I884">
        <v>0.1</v>
      </c>
      <c r="J884" t="str">
        <f>_xlfn.XLOOKUP(tblOrders[[#This Row],[ProductID]],Products!$A$2:$A$9,Products!$B$2:$B$9,"Unknown")</f>
        <v>Keyboard</v>
      </c>
      <c r="K884" t="str">
        <f>_xlfn.XLOOKUP(tblOrders[[#This Row],[ProductID]],Products!$A$2:$A$9,Products!$C$2:$C$9,"Unknown")</f>
        <v>Accessories</v>
      </c>
      <c r="L884">
        <f>_xlfn.XLOOKUP(tblOrders[[#This Row],[ProductID]],Products!$A$2:$A$9,Products!$D$2:$D$9,0)</f>
        <v>600</v>
      </c>
      <c r="M884">
        <f>tblOrders[[#This Row],[Quantity]]*tblOrders[[#This Row],[UnitPrice]]*(1-tblOrders[[#This Row],[Discount]])</f>
        <v>2430</v>
      </c>
      <c r="N884">
        <f>tblOrders[[#This Row],[Quantity]]*tblOrders[[#This Row],[UnitCost]]</f>
        <v>1800</v>
      </c>
      <c r="O884">
        <f>tblOrders[[#This Row],[Revenue]]-tblOrders[[#This Row],[Cost]]</f>
        <v>630</v>
      </c>
      <c r="P884" t="str">
        <f>TEXT(tblOrders[[#This Row],[OrderDate]],"mmm")</f>
        <v>Feb</v>
      </c>
    </row>
    <row r="885" spans="1:16" x14ac:dyDescent="0.25">
      <c r="A885" t="s">
        <v>929</v>
      </c>
      <c r="B885" s="2">
        <v>45808</v>
      </c>
      <c r="C885" t="s">
        <v>229</v>
      </c>
      <c r="D885" t="s">
        <v>16</v>
      </c>
      <c r="E885" t="s">
        <v>17</v>
      </c>
      <c r="F885" t="s">
        <v>23</v>
      </c>
      <c r="G885">
        <v>15</v>
      </c>
      <c r="H885">
        <v>900</v>
      </c>
      <c r="I885">
        <v>0</v>
      </c>
      <c r="J885" t="str">
        <f>_xlfn.XLOOKUP(tblOrders[[#This Row],[ProductID]],Products!$A$2:$A$9,Products!$B$2:$B$9,"Unknown")</f>
        <v>Keyboard</v>
      </c>
      <c r="K885" t="str">
        <f>_xlfn.XLOOKUP(tblOrders[[#This Row],[ProductID]],Products!$A$2:$A$9,Products!$C$2:$C$9,"Unknown")</f>
        <v>Accessories</v>
      </c>
      <c r="L885">
        <f>_xlfn.XLOOKUP(tblOrders[[#This Row],[ProductID]],Products!$A$2:$A$9,Products!$D$2:$D$9,0)</f>
        <v>600</v>
      </c>
      <c r="M885">
        <f>tblOrders[[#This Row],[Quantity]]*tblOrders[[#This Row],[UnitPrice]]*(1-tblOrders[[#This Row],[Discount]])</f>
        <v>13500</v>
      </c>
      <c r="N885">
        <f>tblOrders[[#This Row],[Quantity]]*tblOrders[[#This Row],[UnitCost]]</f>
        <v>9000</v>
      </c>
      <c r="O885">
        <f>tblOrders[[#This Row],[Revenue]]-tblOrders[[#This Row],[Cost]]</f>
        <v>4500</v>
      </c>
      <c r="P885" t="str">
        <f>TEXT(tblOrders[[#This Row],[OrderDate]],"mmm")</f>
        <v>May</v>
      </c>
    </row>
    <row r="886" spans="1:16" x14ac:dyDescent="0.25">
      <c r="A886" t="s">
        <v>309</v>
      </c>
      <c r="B886" s="2">
        <v>45925</v>
      </c>
      <c r="C886" t="s">
        <v>195</v>
      </c>
      <c r="D886" t="s">
        <v>21</v>
      </c>
      <c r="E886" t="s">
        <v>28</v>
      </c>
      <c r="F886" t="s">
        <v>23</v>
      </c>
      <c r="G886">
        <v>12</v>
      </c>
      <c r="H886">
        <v>900</v>
      </c>
      <c r="I886">
        <v>0</v>
      </c>
      <c r="J886" t="str">
        <f>_xlfn.XLOOKUP(tblOrders[[#This Row],[ProductID]],Products!$A$2:$A$9,Products!$B$2:$B$9,"Unknown")</f>
        <v>Keyboard</v>
      </c>
      <c r="K886" t="str">
        <f>_xlfn.XLOOKUP(tblOrders[[#This Row],[ProductID]],Products!$A$2:$A$9,Products!$C$2:$C$9,"Unknown")</f>
        <v>Accessories</v>
      </c>
      <c r="L886">
        <f>_xlfn.XLOOKUP(tblOrders[[#This Row],[ProductID]],Products!$A$2:$A$9,Products!$D$2:$D$9,0)</f>
        <v>600</v>
      </c>
      <c r="M886">
        <f>tblOrders[[#This Row],[Quantity]]*tblOrders[[#This Row],[UnitPrice]]*(1-tblOrders[[#This Row],[Discount]])</f>
        <v>10800</v>
      </c>
      <c r="N886">
        <f>tblOrders[[#This Row],[Quantity]]*tblOrders[[#This Row],[UnitCost]]</f>
        <v>7200</v>
      </c>
      <c r="O886">
        <f>tblOrders[[#This Row],[Revenue]]-tblOrders[[#This Row],[Cost]]</f>
        <v>3600</v>
      </c>
      <c r="P886" t="str">
        <f>TEXT(tblOrders[[#This Row],[OrderDate]],"mmm")</f>
        <v>Sep</v>
      </c>
    </row>
    <row r="887" spans="1:16" x14ac:dyDescent="0.25">
      <c r="A887" t="s">
        <v>886</v>
      </c>
      <c r="B887" s="2">
        <v>45811</v>
      </c>
      <c r="C887" t="s">
        <v>85</v>
      </c>
      <c r="D887" t="s">
        <v>21</v>
      </c>
      <c r="E887" t="s">
        <v>28</v>
      </c>
      <c r="F887" t="s">
        <v>69</v>
      </c>
      <c r="G887">
        <v>5</v>
      </c>
      <c r="H887">
        <v>12000</v>
      </c>
      <c r="I887">
        <v>0</v>
      </c>
      <c r="J887" t="str">
        <f>_xlfn.XLOOKUP(tblOrders[[#This Row],[ProductID]],Products!$A$2:$A$9,Products!$B$2:$B$9,"Unknown")</f>
        <v>Monitor</v>
      </c>
      <c r="K887" t="str">
        <f>_xlfn.XLOOKUP(tblOrders[[#This Row],[ProductID]],Products!$A$2:$A$9,Products!$C$2:$C$9,"Unknown")</f>
        <v>Electronics</v>
      </c>
      <c r="L887">
        <f>_xlfn.XLOOKUP(tblOrders[[#This Row],[ProductID]],Products!$A$2:$A$9,Products!$D$2:$D$9,0)</f>
        <v>9000</v>
      </c>
      <c r="M887">
        <f>tblOrders[[#This Row],[Quantity]]*tblOrders[[#This Row],[UnitPrice]]*(1-tblOrders[[#This Row],[Discount]])</f>
        <v>60000</v>
      </c>
      <c r="N887">
        <f>tblOrders[[#This Row],[Quantity]]*tblOrders[[#This Row],[UnitCost]]</f>
        <v>45000</v>
      </c>
      <c r="O887">
        <f>tblOrders[[#This Row],[Revenue]]-tblOrders[[#This Row],[Cost]]</f>
        <v>15000</v>
      </c>
      <c r="P887" t="str">
        <f>TEXT(tblOrders[[#This Row],[OrderDate]],"mmm")</f>
        <v>Jun</v>
      </c>
    </row>
    <row r="888" spans="1:16" x14ac:dyDescent="0.25">
      <c r="A888" t="s">
        <v>533</v>
      </c>
      <c r="B888" s="2">
        <v>45847</v>
      </c>
      <c r="C888" t="s">
        <v>85</v>
      </c>
      <c r="D888" t="s">
        <v>11</v>
      </c>
      <c r="E888" t="s">
        <v>46</v>
      </c>
      <c r="F888" t="s">
        <v>34</v>
      </c>
      <c r="G888">
        <v>2</v>
      </c>
      <c r="H888">
        <v>55000</v>
      </c>
      <c r="I888">
        <v>0.05</v>
      </c>
      <c r="J888" t="str">
        <f>_xlfn.XLOOKUP(tblOrders[[#This Row],[ProductID]],Products!$A$2:$A$9,Products!$B$2:$B$9,"Unknown")</f>
        <v>Laptop</v>
      </c>
      <c r="K888" t="str">
        <f>_xlfn.XLOOKUP(tblOrders[[#This Row],[ProductID]],Products!$A$2:$A$9,Products!$C$2:$C$9,"Unknown")</f>
        <v>Electronics</v>
      </c>
      <c r="L888">
        <f>_xlfn.XLOOKUP(tblOrders[[#This Row],[ProductID]],Products!$A$2:$A$9,Products!$D$2:$D$9,0)</f>
        <v>41000</v>
      </c>
      <c r="M888">
        <f>tblOrders[[#This Row],[Quantity]]*tblOrders[[#This Row],[UnitPrice]]*(1-tblOrders[[#This Row],[Discount]])</f>
        <v>104500</v>
      </c>
      <c r="N888">
        <f>tblOrders[[#This Row],[Quantity]]*tblOrders[[#This Row],[UnitCost]]</f>
        <v>82000</v>
      </c>
      <c r="O888">
        <f>tblOrders[[#This Row],[Revenue]]-tblOrders[[#This Row],[Cost]]</f>
        <v>22500</v>
      </c>
      <c r="P888" t="str">
        <f>TEXT(tblOrders[[#This Row],[OrderDate]],"mmm")</f>
        <v>Jul</v>
      </c>
    </row>
    <row r="889" spans="1:16" x14ac:dyDescent="0.25">
      <c r="A889" t="s">
        <v>975</v>
      </c>
      <c r="B889" s="2">
        <v>45766</v>
      </c>
      <c r="C889" t="s">
        <v>99</v>
      </c>
      <c r="D889" t="s">
        <v>21</v>
      </c>
      <c r="E889" t="s">
        <v>22</v>
      </c>
      <c r="F889" t="s">
        <v>34</v>
      </c>
      <c r="G889">
        <v>5</v>
      </c>
      <c r="H889">
        <v>55000</v>
      </c>
      <c r="I889">
        <v>0</v>
      </c>
      <c r="J889" t="str">
        <f>_xlfn.XLOOKUP(tblOrders[[#This Row],[ProductID]],Products!$A$2:$A$9,Products!$B$2:$B$9,"Unknown")</f>
        <v>Laptop</v>
      </c>
      <c r="K889" t="str">
        <f>_xlfn.XLOOKUP(tblOrders[[#This Row],[ProductID]],Products!$A$2:$A$9,Products!$C$2:$C$9,"Unknown")</f>
        <v>Electronics</v>
      </c>
      <c r="L889">
        <f>_xlfn.XLOOKUP(tblOrders[[#This Row],[ProductID]],Products!$A$2:$A$9,Products!$D$2:$D$9,0)</f>
        <v>41000</v>
      </c>
      <c r="M889">
        <f>tblOrders[[#This Row],[Quantity]]*tblOrders[[#This Row],[UnitPrice]]*(1-tblOrders[[#This Row],[Discount]])</f>
        <v>275000</v>
      </c>
      <c r="N889">
        <f>tblOrders[[#This Row],[Quantity]]*tblOrders[[#This Row],[UnitCost]]</f>
        <v>205000</v>
      </c>
      <c r="O889">
        <f>tblOrders[[#This Row],[Revenue]]-tblOrders[[#This Row],[Cost]]</f>
        <v>70000</v>
      </c>
      <c r="P889" t="str">
        <f>TEXT(tblOrders[[#This Row],[OrderDate]],"mmm")</f>
        <v>Apr</v>
      </c>
    </row>
    <row r="890" spans="1:16" x14ac:dyDescent="0.25">
      <c r="A890" t="s">
        <v>188</v>
      </c>
      <c r="B890" s="2">
        <v>45670</v>
      </c>
      <c r="C890" t="s">
        <v>136</v>
      </c>
      <c r="D890" t="s">
        <v>16</v>
      </c>
      <c r="E890" t="s">
        <v>17</v>
      </c>
      <c r="F890" t="s">
        <v>69</v>
      </c>
      <c r="G890">
        <v>8</v>
      </c>
      <c r="H890">
        <v>12000</v>
      </c>
      <c r="I890">
        <v>0.1</v>
      </c>
      <c r="J890" t="str">
        <f>_xlfn.XLOOKUP(tblOrders[[#This Row],[ProductID]],Products!$A$2:$A$9,Products!$B$2:$B$9,"Unknown")</f>
        <v>Monitor</v>
      </c>
      <c r="K890" t="str">
        <f>_xlfn.XLOOKUP(tblOrders[[#This Row],[ProductID]],Products!$A$2:$A$9,Products!$C$2:$C$9,"Unknown")</f>
        <v>Electronics</v>
      </c>
      <c r="L890">
        <f>_xlfn.XLOOKUP(tblOrders[[#This Row],[ProductID]],Products!$A$2:$A$9,Products!$D$2:$D$9,0)</f>
        <v>9000</v>
      </c>
      <c r="M890">
        <f>tblOrders[[#This Row],[Quantity]]*tblOrders[[#This Row],[UnitPrice]]*(1-tblOrders[[#This Row],[Discount]])</f>
        <v>86400</v>
      </c>
      <c r="N890">
        <f>tblOrders[[#This Row],[Quantity]]*tblOrders[[#This Row],[UnitCost]]</f>
        <v>72000</v>
      </c>
      <c r="O890">
        <f>tblOrders[[#This Row],[Revenue]]-tblOrders[[#This Row],[Cost]]</f>
        <v>14400</v>
      </c>
      <c r="P890" t="str">
        <f>TEXT(tblOrders[[#This Row],[OrderDate]],"mmm")</f>
        <v>Jan</v>
      </c>
    </row>
    <row r="891" spans="1:16" x14ac:dyDescent="0.25">
      <c r="A891" t="s">
        <v>254</v>
      </c>
      <c r="B891" s="2">
        <v>45985</v>
      </c>
      <c r="C891" t="s">
        <v>229</v>
      </c>
      <c r="D891" t="s">
        <v>11</v>
      </c>
      <c r="E891" t="s">
        <v>12</v>
      </c>
      <c r="F891" t="s">
        <v>55</v>
      </c>
      <c r="G891">
        <v>8</v>
      </c>
      <c r="H891">
        <v>8000</v>
      </c>
      <c r="I891">
        <v>0</v>
      </c>
      <c r="J891" t="str">
        <f>_xlfn.XLOOKUP(tblOrders[[#This Row],[ProductID]],Products!$A$2:$A$9,Products!$B$2:$B$9,"Unknown")</f>
        <v>Printer</v>
      </c>
      <c r="K891" t="str">
        <f>_xlfn.XLOOKUP(tblOrders[[#This Row],[ProductID]],Products!$A$2:$A$9,Products!$C$2:$C$9,"Unknown")</f>
        <v>Electronics</v>
      </c>
      <c r="L891">
        <f>_xlfn.XLOOKUP(tblOrders[[#This Row],[ProductID]],Products!$A$2:$A$9,Products!$D$2:$D$9,0)</f>
        <v>6200</v>
      </c>
      <c r="M891">
        <f>tblOrders[[#This Row],[Quantity]]*tblOrders[[#This Row],[UnitPrice]]*(1-tblOrders[[#This Row],[Discount]])</f>
        <v>64000</v>
      </c>
      <c r="N891">
        <f>tblOrders[[#This Row],[Quantity]]*tblOrders[[#This Row],[UnitCost]]</f>
        <v>49600</v>
      </c>
      <c r="O891">
        <f>tblOrders[[#This Row],[Revenue]]-tblOrders[[#This Row],[Cost]]</f>
        <v>14400</v>
      </c>
      <c r="P891" t="str">
        <f>TEXT(tblOrders[[#This Row],[OrderDate]],"mmm")</f>
        <v>Nov</v>
      </c>
    </row>
    <row r="892" spans="1:16" x14ac:dyDescent="0.25">
      <c r="A892" t="s">
        <v>868</v>
      </c>
      <c r="B892" s="2">
        <v>45946</v>
      </c>
      <c r="C892" t="s">
        <v>99</v>
      </c>
      <c r="D892" t="s">
        <v>16</v>
      </c>
      <c r="E892" t="s">
        <v>33</v>
      </c>
      <c r="F892" t="s">
        <v>34</v>
      </c>
      <c r="G892">
        <v>10</v>
      </c>
      <c r="H892">
        <v>55000</v>
      </c>
      <c r="I892">
        <v>0</v>
      </c>
      <c r="J892" t="str">
        <f>_xlfn.XLOOKUP(tblOrders[[#This Row],[ProductID]],Products!$A$2:$A$9,Products!$B$2:$B$9,"Unknown")</f>
        <v>Laptop</v>
      </c>
      <c r="K892" t="str">
        <f>_xlfn.XLOOKUP(tblOrders[[#This Row],[ProductID]],Products!$A$2:$A$9,Products!$C$2:$C$9,"Unknown")</f>
        <v>Electronics</v>
      </c>
      <c r="L892">
        <f>_xlfn.XLOOKUP(tblOrders[[#This Row],[ProductID]],Products!$A$2:$A$9,Products!$D$2:$D$9,0)</f>
        <v>41000</v>
      </c>
      <c r="M892">
        <f>tblOrders[[#This Row],[Quantity]]*tblOrders[[#This Row],[UnitPrice]]*(1-tblOrders[[#This Row],[Discount]])</f>
        <v>550000</v>
      </c>
      <c r="N892">
        <f>tblOrders[[#This Row],[Quantity]]*tblOrders[[#This Row],[UnitCost]]</f>
        <v>410000</v>
      </c>
      <c r="O892">
        <f>tblOrders[[#This Row],[Revenue]]-tblOrders[[#This Row],[Cost]]</f>
        <v>140000</v>
      </c>
      <c r="P892" t="str">
        <f>TEXT(tblOrders[[#This Row],[OrderDate]],"mmm")</f>
        <v>Oct</v>
      </c>
    </row>
    <row r="893" spans="1:16" x14ac:dyDescent="0.25">
      <c r="A893" t="s">
        <v>843</v>
      </c>
      <c r="B893" s="2">
        <v>46010</v>
      </c>
      <c r="C893" t="s">
        <v>144</v>
      </c>
      <c r="D893" t="s">
        <v>21</v>
      </c>
      <c r="E893" t="s">
        <v>28</v>
      </c>
      <c r="F893" t="s">
        <v>18</v>
      </c>
      <c r="G893">
        <v>1</v>
      </c>
      <c r="H893">
        <v>18000</v>
      </c>
      <c r="I893">
        <v>0</v>
      </c>
      <c r="J893" t="str">
        <f>_xlfn.XLOOKUP(tblOrders[[#This Row],[ProductID]],Products!$A$2:$A$9,Products!$B$2:$B$9,"Unknown")</f>
        <v>Tablet</v>
      </c>
      <c r="K893" t="str">
        <f>_xlfn.XLOOKUP(tblOrders[[#This Row],[ProductID]],Products!$A$2:$A$9,Products!$C$2:$C$9,"Unknown")</f>
        <v>Electronics</v>
      </c>
      <c r="L893">
        <f>_xlfn.XLOOKUP(tblOrders[[#This Row],[ProductID]],Products!$A$2:$A$9,Products!$D$2:$D$9,0)</f>
        <v>13500</v>
      </c>
      <c r="M893">
        <f>tblOrders[[#This Row],[Quantity]]*tblOrders[[#This Row],[UnitPrice]]*(1-tblOrders[[#This Row],[Discount]])</f>
        <v>18000</v>
      </c>
      <c r="N893">
        <f>tblOrders[[#This Row],[Quantity]]*tblOrders[[#This Row],[UnitCost]]</f>
        <v>13500</v>
      </c>
      <c r="O893">
        <f>tblOrders[[#This Row],[Revenue]]-tblOrders[[#This Row],[Cost]]</f>
        <v>4500</v>
      </c>
      <c r="P893" t="str">
        <f>TEXT(tblOrders[[#This Row],[OrderDate]],"mmm")</f>
        <v>Dec</v>
      </c>
    </row>
    <row r="894" spans="1:16" x14ac:dyDescent="0.25">
      <c r="A894" t="s">
        <v>393</v>
      </c>
      <c r="B894" s="2">
        <v>45828</v>
      </c>
      <c r="C894" t="s">
        <v>130</v>
      </c>
      <c r="D894" t="s">
        <v>11</v>
      </c>
      <c r="E894" t="s">
        <v>12</v>
      </c>
      <c r="F894" t="s">
        <v>18</v>
      </c>
      <c r="G894">
        <v>1</v>
      </c>
      <c r="H894">
        <v>18000</v>
      </c>
      <c r="I894">
        <v>0.15</v>
      </c>
      <c r="J894" t="str">
        <f>_xlfn.XLOOKUP(tblOrders[[#This Row],[ProductID]],Products!$A$2:$A$9,Products!$B$2:$B$9,"Unknown")</f>
        <v>Tablet</v>
      </c>
      <c r="K894" t="str">
        <f>_xlfn.XLOOKUP(tblOrders[[#This Row],[ProductID]],Products!$A$2:$A$9,Products!$C$2:$C$9,"Unknown")</f>
        <v>Electronics</v>
      </c>
      <c r="L894">
        <f>_xlfn.XLOOKUP(tblOrders[[#This Row],[ProductID]],Products!$A$2:$A$9,Products!$D$2:$D$9,0)</f>
        <v>13500</v>
      </c>
      <c r="M894">
        <f>tblOrders[[#This Row],[Quantity]]*tblOrders[[#This Row],[UnitPrice]]*(1-tblOrders[[#This Row],[Discount]])</f>
        <v>15300</v>
      </c>
      <c r="N894">
        <f>tblOrders[[#This Row],[Quantity]]*tblOrders[[#This Row],[UnitCost]]</f>
        <v>13500</v>
      </c>
      <c r="O894">
        <f>tblOrders[[#This Row],[Revenue]]-tblOrders[[#This Row],[Cost]]</f>
        <v>1800</v>
      </c>
      <c r="P894" t="str">
        <f>TEXT(tblOrders[[#This Row],[OrderDate]],"mmm")</f>
        <v>Jun</v>
      </c>
    </row>
    <row r="895" spans="1:16" x14ac:dyDescent="0.25">
      <c r="A895" t="s">
        <v>772</v>
      </c>
      <c r="B895" s="2">
        <v>45921</v>
      </c>
      <c r="C895" t="s">
        <v>48</v>
      </c>
      <c r="D895" t="s">
        <v>16</v>
      </c>
      <c r="E895" t="s">
        <v>17</v>
      </c>
      <c r="F895" t="s">
        <v>55</v>
      </c>
      <c r="G895">
        <v>14</v>
      </c>
      <c r="H895">
        <v>8000</v>
      </c>
      <c r="I895">
        <v>0.1</v>
      </c>
      <c r="J895" t="str">
        <f>_xlfn.XLOOKUP(tblOrders[[#This Row],[ProductID]],Products!$A$2:$A$9,Products!$B$2:$B$9,"Unknown")</f>
        <v>Printer</v>
      </c>
      <c r="K895" t="str">
        <f>_xlfn.XLOOKUP(tblOrders[[#This Row],[ProductID]],Products!$A$2:$A$9,Products!$C$2:$C$9,"Unknown")</f>
        <v>Electronics</v>
      </c>
      <c r="L895">
        <f>_xlfn.XLOOKUP(tblOrders[[#This Row],[ProductID]],Products!$A$2:$A$9,Products!$D$2:$D$9,0)</f>
        <v>6200</v>
      </c>
      <c r="M895">
        <f>tblOrders[[#This Row],[Quantity]]*tblOrders[[#This Row],[UnitPrice]]*(1-tblOrders[[#This Row],[Discount]])</f>
        <v>100800</v>
      </c>
      <c r="N895">
        <f>tblOrders[[#This Row],[Quantity]]*tblOrders[[#This Row],[UnitCost]]</f>
        <v>86800</v>
      </c>
      <c r="O895">
        <f>tblOrders[[#This Row],[Revenue]]-tblOrders[[#This Row],[Cost]]</f>
        <v>14000</v>
      </c>
      <c r="P895" t="str">
        <f>TEXT(tblOrders[[#This Row],[OrderDate]],"mmm")</f>
        <v>Sep</v>
      </c>
    </row>
    <row r="896" spans="1:16" x14ac:dyDescent="0.25">
      <c r="A896" t="s">
        <v>856</v>
      </c>
      <c r="B896" s="2">
        <v>46005</v>
      </c>
      <c r="C896" t="s">
        <v>99</v>
      </c>
      <c r="D896" t="s">
        <v>11</v>
      </c>
      <c r="E896" t="s">
        <v>12</v>
      </c>
      <c r="F896" t="s">
        <v>55</v>
      </c>
      <c r="G896">
        <v>8</v>
      </c>
      <c r="H896">
        <v>8000</v>
      </c>
      <c r="I896">
        <v>0</v>
      </c>
      <c r="J896" t="str">
        <f>_xlfn.XLOOKUP(tblOrders[[#This Row],[ProductID]],Products!$A$2:$A$9,Products!$B$2:$B$9,"Unknown")</f>
        <v>Printer</v>
      </c>
      <c r="K896" t="str">
        <f>_xlfn.XLOOKUP(tblOrders[[#This Row],[ProductID]],Products!$A$2:$A$9,Products!$C$2:$C$9,"Unknown")</f>
        <v>Electronics</v>
      </c>
      <c r="L896">
        <f>_xlfn.XLOOKUP(tblOrders[[#This Row],[ProductID]],Products!$A$2:$A$9,Products!$D$2:$D$9,0)</f>
        <v>6200</v>
      </c>
      <c r="M896">
        <f>tblOrders[[#This Row],[Quantity]]*tblOrders[[#This Row],[UnitPrice]]*(1-tblOrders[[#This Row],[Discount]])</f>
        <v>64000</v>
      </c>
      <c r="N896">
        <f>tblOrders[[#This Row],[Quantity]]*tblOrders[[#This Row],[UnitCost]]</f>
        <v>49600</v>
      </c>
      <c r="O896">
        <f>tblOrders[[#This Row],[Revenue]]-tblOrders[[#This Row],[Cost]]</f>
        <v>14400</v>
      </c>
      <c r="P896" t="str">
        <f>TEXT(tblOrders[[#This Row],[OrderDate]],"mmm")</f>
        <v>Dec</v>
      </c>
    </row>
    <row r="897" spans="1:16" x14ac:dyDescent="0.25">
      <c r="A897" t="s">
        <v>375</v>
      </c>
      <c r="B897" s="2">
        <v>45665</v>
      </c>
      <c r="C897" t="s">
        <v>78</v>
      </c>
      <c r="D897" t="s">
        <v>16</v>
      </c>
      <c r="E897" t="s">
        <v>17</v>
      </c>
      <c r="F897" t="s">
        <v>34</v>
      </c>
      <c r="G897">
        <v>7</v>
      </c>
      <c r="H897">
        <v>55000</v>
      </c>
      <c r="I897">
        <v>0.1</v>
      </c>
      <c r="J897" t="str">
        <f>_xlfn.XLOOKUP(tblOrders[[#This Row],[ProductID]],Products!$A$2:$A$9,Products!$B$2:$B$9,"Unknown")</f>
        <v>Laptop</v>
      </c>
      <c r="K897" t="str">
        <f>_xlfn.XLOOKUP(tblOrders[[#This Row],[ProductID]],Products!$A$2:$A$9,Products!$C$2:$C$9,"Unknown")</f>
        <v>Electronics</v>
      </c>
      <c r="L897">
        <f>_xlfn.XLOOKUP(tblOrders[[#This Row],[ProductID]],Products!$A$2:$A$9,Products!$D$2:$D$9,0)</f>
        <v>41000</v>
      </c>
      <c r="M897">
        <f>tblOrders[[#This Row],[Quantity]]*tblOrders[[#This Row],[UnitPrice]]*(1-tblOrders[[#This Row],[Discount]])</f>
        <v>346500</v>
      </c>
      <c r="N897">
        <f>tblOrders[[#This Row],[Quantity]]*tblOrders[[#This Row],[UnitCost]]</f>
        <v>287000</v>
      </c>
      <c r="O897">
        <f>tblOrders[[#This Row],[Revenue]]-tblOrders[[#This Row],[Cost]]</f>
        <v>59500</v>
      </c>
      <c r="P897" t="str">
        <f>TEXT(tblOrders[[#This Row],[OrderDate]],"mmm")</f>
        <v>Jan</v>
      </c>
    </row>
    <row r="898" spans="1:16" x14ac:dyDescent="0.25">
      <c r="A898" t="s">
        <v>825</v>
      </c>
      <c r="B898" s="2">
        <v>45795</v>
      </c>
      <c r="C898" t="s">
        <v>20</v>
      </c>
      <c r="D898" t="s">
        <v>11</v>
      </c>
      <c r="E898" t="s">
        <v>12</v>
      </c>
      <c r="F898" t="s">
        <v>43</v>
      </c>
      <c r="G898">
        <v>1</v>
      </c>
      <c r="H898">
        <v>1500</v>
      </c>
      <c r="I898">
        <v>0</v>
      </c>
      <c r="J898" t="str">
        <f>_xlfn.XLOOKUP(tblOrders[[#This Row],[ProductID]],Products!$A$2:$A$9,Products!$B$2:$B$9,"Unknown")</f>
        <v>Webcam</v>
      </c>
      <c r="K898" t="str">
        <f>_xlfn.XLOOKUP(tblOrders[[#This Row],[ProductID]],Products!$A$2:$A$9,Products!$C$2:$C$9,"Unknown")</f>
        <v>Accessories</v>
      </c>
      <c r="L898">
        <f>_xlfn.XLOOKUP(tblOrders[[#This Row],[ProductID]],Products!$A$2:$A$9,Products!$D$2:$D$9,0)</f>
        <v>980</v>
      </c>
      <c r="M898">
        <f>tblOrders[[#This Row],[Quantity]]*tblOrders[[#This Row],[UnitPrice]]*(1-tblOrders[[#This Row],[Discount]])</f>
        <v>1500</v>
      </c>
      <c r="N898">
        <f>tblOrders[[#This Row],[Quantity]]*tblOrders[[#This Row],[UnitCost]]</f>
        <v>980</v>
      </c>
      <c r="O898">
        <f>tblOrders[[#This Row],[Revenue]]-tblOrders[[#This Row],[Cost]]</f>
        <v>520</v>
      </c>
      <c r="P898" t="str">
        <f>TEXT(tblOrders[[#This Row],[OrderDate]],"mmm")</f>
        <v>May</v>
      </c>
    </row>
    <row r="899" spans="1:16" x14ac:dyDescent="0.25">
      <c r="A899" t="s">
        <v>905</v>
      </c>
      <c r="B899" s="2">
        <v>45975</v>
      </c>
      <c r="C899" t="s">
        <v>195</v>
      </c>
      <c r="D899" t="s">
        <v>39</v>
      </c>
      <c r="E899" t="s">
        <v>40</v>
      </c>
      <c r="F899" t="s">
        <v>69</v>
      </c>
      <c r="G899">
        <v>2</v>
      </c>
      <c r="H899">
        <v>12000</v>
      </c>
      <c r="I899">
        <v>0.1</v>
      </c>
      <c r="J899" t="str">
        <f>_xlfn.XLOOKUP(tblOrders[[#This Row],[ProductID]],Products!$A$2:$A$9,Products!$B$2:$B$9,"Unknown")</f>
        <v>Monitor</v>
      </c>
      <c r="K899" t="str">
        <f>_xlfn.XLOOKUP(tblOrders[[#This Row],[ProductID]],Products!$A$2:$A$9,Products!$C$2:$C$9,"Unknown")</f>
        <v>Electronics</v>
      </c>
      <c r="L899">
        <f>_xlfn.XLOOKUP(tblOrders[[#This Row],[ProductID]],Products!$A$2:$A$9,Products!$D$2:$D$9,0)</f>
        <v>9000</v>
      </c>
      <c r="M899">
        <f>tblOrders[[#This Row],[Quantity]]*tblOrders[[#This Row],[UnitPrice]]*(1-tblOrders[[#This Row],[Discount]])</f>
        <v>21600</v>
      </c>
      <c r="N899">
        <f>tblOrders[[#This Row],[Quantity]]*tblOrders[[#This Row],[UnitCost]]</f>
        <v>18000</v>
      </c>
      <c r="O899">
        <f>tblOrders[[#This Row],[Revenue]]-tblOrders[[#This Row],[Cost]]</f>
        <v>3600</v>
      </c>
      <c r="P899" t="str">
        <f>TEXT(tblOrders[[#This Row],[OrderDate]],"mmm")</f>
        <v>Nov</v>
      </c>
    </row>
    <row r="900" spans="1:16" x14ac:dyDescent="0.25">
      <c r="A900" t="s">
        <v>200</v>
      </c>
      <c r="B900" s="2">
        <v>45686</v>
      </c>
      <c r="C900" t="s">
        <v>59</v>
      </c>
      <c r="D900" t="s">
        <v>16</v>
      </c>
      <c r="E900" t="s">
        <v>33</v>
      </c>
      <c r="F900" t="s">
        <v>43</v>
      </c>
      <c r="G900">
        <v>9</v>
      </c>
      <c r="H900">
        <v>1500</v>
      </c>
      <c r="I900">
        <v>0.1</v>
      </c>
      <c r="J900" t="str">
        <f>_xlfn.XLOOKUP(tblOrders[[#This Row],[ProductID]],Products!$A$2:$A$9,Products!$B$2:$B$9,"Unknown")</f>
        <v>Webcam</v>
      </c>
      <c r="K900" t="str">
        <f>_xlfn.XLOOKUP(tblOrders[[#This Row],[ProductID]],Products!$A$2:$A$9,Products!$C$2:$C$9,"Unknown")</f>
        <v>Accessories</v>
      </c>
      <c r="L900">
        <f>_xlfn.XLOOKUP(tblOrders[[#This Row],[ProductID]],Products!$A$2:$A$9,Products!$D$2:$D$9,0)</f>
        <v>980</v>
      </c>
      <c r="M900">
        <f>tblOrders[[#This Row],[Quantity]]*tblOrders[[#This Row],[UnitPrice]]*(1-tblOrders[[#This Row],[Discount]])</f>
        <v>12150</v>
      </c>
      <c r="N900">
        <f>tblOrders[[#This Row],[Quantity]]*tblOrders[[#This Row],[UnitCost]]</f>
        <v>8820</v>
      </c>
      <c r="O900">
        <f>tblOrders[[#This Row],[Revenue]]-tblOrders[[#This Row],[Cost]]</f>
        <v>3330</v>
      </c>
      <c r="P900" t="str">
        <f>TEXT(tblOrders[[#This Row],[OrderDate]],"mmm")</f>
        <v>Jan</v>
      </c>
    </row>
    <row r="901" spans="1:16" x14ac:dyDescent="0.25">
      <c r="A901" t="s">
        <v>577</v>
      </c>
      <c r="B901" s="2">
        <v>45829</v>
      </c>
      <c r="C901" t="s">
        <v>229</v>
      </c>
      <c r="D901" t="s">
        <v>16</v>
      </c>
      <c r="E901" t="s">
        <v>33</v>
      </c>
      <c r="F901" t="s">
        <v>55</v>
      </c>
      <c r="G901">
        <v>4</v>
      </c>
      <c r="H901">
        <v>8000</v>
      </c>
      <c r="I901">
        <v>0.15</v>
      </c>
      <c r="J901" t="str">
        <f>_xlfn.XLOOKUP(tblOrders[[#This Row],[ProductID]],Products!$A$2:$A$9,Products!$B$2:$B$9,"Unknown")</f>
        <v>Printer</v>
      </c>
      <c r="K901" t="str">
        <f>_xlfn.XLOOKUP(tblOrders[[#This Row],[ProductID]],Products!$A$2:$A$9,Products!$C$2:$C$9,"Unknown")</f>
        <v>Electronics</v>
      </c>
      <c r="L901">
        <f>_xlfn.XLOOKUP(tblOrders[[#This Row],[ProductID]],Products!$A$2:$A$9,Products!$D$2:$D$9,0)</f>
        <v>6200</v>
      </c>
      <c r="M901">
        <f>tblOrders[[#This Row],[Quantity]]*tblOrders[[#This Row],[UnitPrice]]*(1-tblOrders[[#This Row],[Discount]])</f>
        <v>27200</v>
      </c>
      <c r="N901">
        <f>tblOrders[[#This Row],[Quantity]]*tblOrders[[#This Row],[UnitCost]]</f>
        <v>24800</v>
      </c>
      <c r="O901">
        <f>tblOrders[[#This Row],[Revenue]]-tblOrders[[#This Row],[Cost]]</f>
        <v>2400</v>
      </c>
      <c r="P901" t="str">
        <f>TEXT(tblOrders[[#This Row],[OrderDate]],"mmm")</f>
        <v>Jun</v>
      </c>
    </row>
    <row r="902" spans="1:16" x14ac:dyDescent="0.25">
      <c r="A902" t="s">
        <v>628</v>
      </c>
      <c r="B902" s="2">
        <v>45679</v>
      </c>
      <c r="C902" t="s">
        <v>160</v>
      </c>
      <c r="D902" t="s">
        <v>11</v>
      </c>
      <c r="E902" t="s">
        <v>46</v>
      </c>
      <c r="F902" t="s">
        <v>34</v>
      </c>
      <c r="G902">
        <v>4</v>
      </c>
      <c r="H902">
        <v>55000</v>
      </c>
      <c r="I902">
        <v>0</v>
      </c>
      <c r="J902" t="str">
        <f>_xlfn.XLOOKUP(tblOrders[[#This Row],[ProductID]],Products!$A$2:$A$9,Products!$B$2:$B$9,"Unknown")</f>
        <v>Laptop</v>
      </c>
      <c r="K902" t="str">
        <f>_xlfn.XLOOKUP(tblOrders[[#This Row],[ProductID]],Products!$A$2:$A$9,Products!$C$2:$C$9,"Unknown")</f>
        <v>Electronics</v>
      </c>
      <c r="L902">
        <f>_xlfn.XLOOKUP(tblOrders[[#This Row],[ProductID]],Products!$A$2:$A$9,Products!$D$2:$D$9,0)</f>
        <v>41000</v>
      </c>
      <c r="M902">
        <f>tblOrders[[#This Row],[Quantity]]*tblOrders[[#This Row],[UnitPrice]]*(1-tblOrders[[#This Row],[Discount]])</f>
        <v>220000</v>
      </c>
      <c r="N902">
        <f>tblOrders[[#This Row],[Quantity]]*tblOrders[[#This Row],[UnitCost]]</f>
        <v>164000</v>
      </c>
      <c r="O902">
        <f>tblOrders[[#This Row],[Revenue]]-tblOrders[[#This Row],[Cost]]</f>
        <v>56000</v>
      </c>
      <c r="P902" t="str">
        <f>TEXT(tblOrders[[#This Row],[OrderDate]],"mmm")</f>
        <v>Jan</v>
      </c>
    </row>
    <row r="903" spans="1:16" x14ac:dyDescent="0.25">
      <c r="A903" t="s">
        <v>257</v>
      </c>
      <c r="B903" s="2">
        <v>45986</v>
      </c>
      <c r="C903" t="s">
        <v>82</v>
      </c>
      <c r="D903" t="s">
        <v>39</v>
      </c>
      <c r="E903" t="s">
        <v>76</v>
      </c>
      <c r="F903" t="s">
        <v>55</v>
      </c>
      <c r="G903">
        <v>8</v>
      </c>
      <c r="H903">
        <v>8000</v>
      </c>
      <c r="I903">
        <v>0</v>
      </c>
      <c r="J903" t="str">
        <f>_xlfn.XLOOKUP(tblOrders[[#This Row],[ProductID]],Products!$A$2:$A$9,Products!$B$2:$B$9,"Unknown")</f>
        <v>Printer</v>
      </c>
      <c r="K903" t="str">
        <f>_xlfn.XLOOKUP(tblOrders[[#This Row],[ProductID]],Products!$A$2:$A$9,Products!$C$2:$C$9,"Unknown")</f>
        <v>Electronics</v>
      </c>
      <c r="L903">
        <f>_xlfn.XLOOKUP(tblOrders[[#This Row],[ProductID]],Products!$A$2:$A$9,Products!$D$2:$D$9,0)</f>
        <v>6200</v>
      </c>
      <c r="M903">
        <f>tblOrders[[#This Row],[Quantity]]*tblOrders[[#This Row],[UnitPrice]]*(1-tblOrders[[#This Row],[Discount]])</f>
        <v>64000</v>
      </c>
      <c r="N903">
        <f>tblOrders[[#This Row],[Quantity]]*tblOrders[[#This Row],[UnitCost]]</f>
        <v>49600</v>
      </c>
      <c r="O903">
        <f>tblOrders[[#This Row],[Revenue]]-tblOrders[[#This Row],[Cost]]</f>
        <v>14400</v>
      </c>
      <c r="P903" t="str">
        <f>TEXT(tblOrders[[#This Row],[OrderDate]],"mmm")</f>
        <v>Nov</v>
      </c>
    </row>
    <row r="904" spans="1:16" x14ac:dyDescent="0.25">
      <c r="A904" t="s">
        <v>259</v>
      </c>
      <c r="B904" s="2">
        <v>45867</v>
      </c>
      <c r="C904" t="s">
        <v>90</v>
      </c>
      <c r="D904" t="s">
        <v>39</v>
      </c>
      <c r="E904" t="s">
        <v>40</v>
      </c>
      <c r="F904" t="s">
        <v>23</v>
      </c>
      <c r="G904">
        <v>2</v>
      </c>
      <c r="H904">
        <v>900</v>
      </c>
      <c r="I904">
        <v>0.15</v>
      </c>
      <c r="J904" t="str">
        <f>_xlfn.XLOOKUP(tblOrders[[#This Row],[ProductID]],Products!$A$2:$A$9,Products!$B$2:$B$9,"Unknown")</f>
        <v>Keyboard</v>
      </c>
      <c r="K904" t="str">
        <f>_xlfn.XLOOKUP(tblOrders[[#This Row],[ProductID]],Products!$A$2:$A$9,Products!$C$2:$C$9,"Unknown")</f>
        <v>Accessories</v>
      </c>
      <c r="L904">
        <f>_xlfn.XLOOKUP(tblOrders[[#This Row],[ProductID]],Products!$A$2:$A$9,Products!$D$2:$D$9,0)</f>
        <v>600</v>
      </c>
      <c r="M904">
        <f>tblOrders[[#This Row],[Quantity]]*tblOrders[[#This Row],[UnitPrice]]*(1-tblOrders[[#This Row],[Discount]])</f>
        <v>1530</v>
      </c>
      <c r="N904">
        <f>tblOrders[[#This Row],[Quantity]]*tblOrders[[#This Row],[UnitCost]]</f>
        <v>1200</v>
      </c>
      <c r="O904">
        <f>tblOrders[[#This Row],[Revenue]]-tblOrders[[#This Row],[Cost]]</f>
        <v>330</v>
      </c>
      <c r="P904" t="str">
        <f>TEXT(tblOrders[[#This Row],[OrderDate]],"mmm")</f>
        <v>Jul</v>
      </c>
    </row>
    <row r="905" spans="1:16" x14ac:dyDescent="0.25">
      <c r="A905" t="s">
        <v>564</v>
      </c>
      <c r="B905" s="2">
        <v>45787</v>
      </c>
      <c r="C905" t="s">
        <v>61</v>
      </c>
      <c r="D905" t="s">
        <v>21</v>
      </c>
      <c r="E905" t="s">
        <v>22</v>
      </c>
      <c r="F905" t="s">
        <v>23</v>
      </c>
      <c r="G905">
        <v>1</v>
      </c>
      <c r="H905">
        <v>900</v>
      </c>
      <c r="I905">
        <v>0</v>
      </c>
      <c r="J905" t="str">
        <f>_xlfn.XLOOKUP(tblOrders[[#This Row],[ProductID]],Products!$A$2:$A$9,Products!$B$2:$B$9,"Unknown")</f>
        <v>Keyboard</v>
      </c>
      <c r="K905" t="str">
        <f>_xlfn.XLOOKUP(tblOrders[[#This Row],[ProductID]],Products!$A$2:$A$9,Products!$C$2:$C$9,"Unknown")</f>
        <v>Accessories</v>
      </c>
      <c r="L905">
        <f>_xlfn.XLOOKUP(tblOrders[[#This Row],[ProductID]],Products!$A$2:$A$9,Products!$D$2:$D$9,0)</f>
        <v>600</v>
      </c>
      <c r="M905">
        <f>tblOrders[[#This Row],[Quantity]]*tblOrders[[#This Row],[UnitPrice]]*(1-tblOrders[[#This Row],[Discount]])</f>
        <v>900</v>
      </c>
      <c r="N905">
        <f>tblOrders[[#This Row],[Quantity]]*tblOrders[[#This Row],[UnitCost]]</f>
        <v>600</v>
      </c>
      <c r="O905">
        <f>tblOrders[[#This Row],[Revenue]]-tblOrders[[#This Row],[Cost]]</f>
        <v>300</v>
      </c>
      <c r="P905" t="str">
        <f>TEXT(tblOrders[[#This Row],[OrderDate]],"mmm")</f>
        <v>May</v>
      </c>
    </row>
    <row r="906" spans="1:16" x14ac:dyDescent="0.25">
      <c r="A906" t="s">
        <v>484</v>
      </c>
      <c r="B906" s="2">
        <v>45834</v>
      </c>
      <c r="C906" t="s">
        <v>48</v>
      </c>
      <c r="D906" t="s">
        <v>39</v>
      </c>
      <c r="E906" t="s">
        <v>76</v>
      </c>
      <c r="F906" t="s">
        <v>34</v>
      </c>
      <c r="G906">
        <v>4</v>
      </c>
      <c r="H906">
        <v>55000</v>
      </c>
      <c r="I906">
        <v>0</v>
      </c>
      <c r="J906" t="str">
        <f>_xlfn.XLOOKUP(tblOrders[[#This Row],[ProductID]],Products!$A$2:$A$9,Products!$B$2:$B$9,"Unknown")</f>
        <v>Laptop</v>
      </c>
      <c r="K906" t="str">
        <f>_xlfn.XLOOKUP(tblOrders[[#This Row],[ProductID]],Products!$A$2:$A$9,Products!$C$2:$C$9,"Unknown")</f>
        <v>Electronics</v>
      </c>
      <c r="L906">
        <f>_xlfn.XLOOKUP(tblOrders[[#This Row],[ProductID]],Products!$A$2:$A$9,Products!$D$2:$D$9,0)</f>
        <v>41000</v>
      </c>
      <c r="M906">
        <f>tblOrders[[#This Row],[Quantity]]*tblOrders[[#This Row],[UnitPrice]]*(1-tblOrders[[#This Row],[Discount]])</f>
        <v>220000</v>
      </c>
      <c r="N906">
        <f>tblOrders[[#This Row],[Quantity]]*tblOrders[[#This Row],[UnitCost]]</f>
        <v>164000</v>
      </c>
      <c r="O906">
        <f>tblOrders[[#This Row],[Revenue]]-tblOrders[[#This Row],[Cost]]</f>
        <v>56000</v>
      </c>
      <c r="P906" t="str">
        <f>TEXT(tblOrders[[#This Row],[OrderDate]],"mmm")</f>
        <v>Jun</v>
      </c>
    </row>
    <row r="907" spans="1:16" x14ac:dyDescent="0.25">
      <c r="A907" t="s">
        <v>270</v>
      </c>
      <c r="B907" s="2">
        <v>46005</v>
      </c>
      <c r="C907" t="s">
        <v>78</v>
      </c>
      <c r="D907" t="s">
        <v>11</v>
      </c>
      <c r="E907" t="s">
        <v>12</v>
      </c>
      <c r="F907" t="s">
        <v>69</v>
      </c>
      <c r="G907">
        <v>11</v>
      </c>
      <c r="H907">
        <v>12000</v>
      </c>
      <c r="I907">
        <v>0</v>
      </c>
      <c r="J907" t="str">
        <f>_xlfn.XLOOKUP(tblOrders[[#This Row],[ProductID]],Products!$A$2:$A$9,Products!$B$2:$B$9,"Unknown")</f>
        <v>Monitor</v>
      </c>
      <c r="K907" t="str">
        <f>_xlfn.XLOOKUP(tblOrders[[#This Row],[ProductID]],Products!$A$2:$A$9,Products!$C$2:$C$9,"Unknown")</f>
        <v>Electronics</v>
      </c>
      <c r="L907">
        <f>_xlfn.XLOOKUP(tblOrders[[#This Row],[ProductID]],Products!$A$2:$A$9,Products!$D$2:$D$9,0)</f>
        <v>9000</v>
      </c>
      <c r="M907">
        <f>tblOrders[[#This Row],[Quantity]]*tblOrders[[#This Row],[UnitPrice]]*(1-tblOrders[[#This Row],[Discount]])</f>
        <v>132000</v>
      </c>
      <c r="N907">
        <f>tblOrders[[#This Row],[Quantity]]*tblOrders[[#This Row],[UnitCost]]</f>
        <v>99000</v>
      </c>
      <c r="O907">
        <f>tblOrders[[#This Row],[Revenue]]-tblOrders[[#This Row],[Cost]]</f>
        <v>33000</v>
      </c>
      <c r="P907" t="str">
        <f>TEXT(tblOrders[[#This Row],[OrderDate]],"mmm")</f>
        <v>Dec</v>
      </c>
    </row>
    <row r="908" spans="1:16" x14ac:dyDescent="0.25">
      <c r="A908" t="s">
        <v>779</v>
      </c>
      <c r="B908" s="2">
        <v>45754</v>
      </c>
      <c r="C908" t="s">
        <v>175</v>
      </c>
      <c r="D908" t="s">
        <v>21</v>
      </c>
      <c r="E908" t="s">
        <v>22</v>
      </c>
      <c r="F908" t="s">
        <v>64</v>
      </c>
      <c r="G908">
        <v>10</v>
      </c>
      <c r="H908">
        <v>500</v>
      </c>
      <c r="I908">
        <v>0.1</v>
      </c>
      <c r="J908" t="str">
        <f>_xlfn.XLOOKUP(tblOrders[[#This Row],[ProductID]],Products!$A$2:$A$9,Products!$B$2:$B$9,"Unknown")</f>
        <v>Mouse</v>
      </c>
      <c r="K908" t="str">
        <f>_xlfn.XLOOKUP(tblOrders[[#This Row],[ProductID]],Products!$A$2:$A$9,Products!$C$2:$C$9,"Unknown")</f>
        <v>Accessories</v>
      </c>
      <c r="L908">
        <f>_xlfn.XLOOKUP(tblOrders[[#This Row],[ProductID]],Products!$A$2:$A$9,Products!$D$2:$D$9,0)</f>
        <v>320</v>
      </c>
      <c r="M908">
        <f>tblOrders[[#This Row],[Quantity]]*tblOrders[[#This Row],[UnitPrice]]*(1-tblOrders[[#This Row],[Discount]])</f>
        <v>4500</v>
      </c>
      <c r="N908">
        <f>tblOrders[[#This Row],[Quantity]]*tblOrders[[#This Row],[UnitCost]]</f>
        <v>3200</v>
      </c>
      <c r="O908">
        <f>tblOrders[[#This Row],[Revenue]]-tblOrders[[#This Row],[Cost]]</f>
        <v>1300</v>
      </c>
      <c r="P908" t="str">
        <f>TEXT(tblOrders[[#This Row],[OrderDate]],"mmm")</f>
        <v>Apr</v>
      </c>
    </row>
    <row r="909" spans="1:16" x14ac:dyDescent="0.25">
      <c r="A909" t="s">
        <v>853</v>
      </c>
      <c r="B909" s="2">
        <v>45697</v>
      </c>
      <c r="C909" t="s">
        <v>144</v>
      </c>
      <c r="D909" t="s">
        <v>21</v>
      </c>
      <c r="E909" t="s">
        <v>28</v>
      </c>
      <c r="F909" t="s">
        <v>34</v>
      </c>
      <c r="G909">
        <v>1</v>
      </c>
      <c r="H909">
        <v>55000</v>
      </c>
      <c r="I909">
        <v>0</v>
      </c>
      <c r="J909" t="str">
        <f>_xlfn.XLOOKUP(tblOrders[[#This Row],[ProductID]],Products!$A$2:$A$9,Products!$B$2:$B$9,"Unknown")</f>
        <v>Laptop</v>
      </c>
      <c r="K909" t="str">
        <f>_xlfn.XLOOKUP(tblOrders[[#This Row],[ProductID]],Products!$A$2:$A$9,Products!$C$2:$C$9,"Unknown")</f>
        <v>Electronics</v>
      </c>
      <c r="L909">
        <f>_xlfn.XLOOKUP(tblOrders[[#This Row],[ProductID]],Products!$A$2:$A$9,Products!$D$2:$D$9,0)</f>
        <v>41000</v>
      </c>
      <c r="M909">
        <f>tblOrders[[#This Row],[Quantity]]*tblOrders[[#This Row],[UnitPrice]]*(1-tblOrders[[#This Row],[Discount]])</f>
        <v>55000</v>
      </c>
      <c r="N909">
        <f>tblOrders[[#This Row],[Quantity]]*tblOrders[[#This Row],[UnitCost]]</f>
        <v>41000</v>
      </c>
      <c r="O909">
        <f>tblOrders[[#This Row],[Revenue]]-tblOrders[[#This Row],[Cost]]</f>
        <v>14000</v>
      </c>
      <c r="P909" t="str">
        <f>TEXT(tblOrders[[#This Row],[OrderDate]],"mmm")</f>
        <v>Feb</v>
      </c>
    </row>
    <row r="910" spans="1:16" x14ac:dyDescent="0.25">
      <c r="A910" t="s">
        <v>900</v>
      </c>
      <c r="B910" s="2">
        <v>45825</v>
      </c>
      <c r="C910" t="s">
        <v>78</v>
      </c>
      <c r="D910" t="s">
        <v>21</v>
      </c>
      <c r="E910" t="s">
        <v>22</v>
      </c>
      <c r="F910" t="s">
        <v>64</v>
      </c>
      <c r="G910">
        <v>6</v>
      </c>
      <c r="H910">
        <v>500</v>
      </c>
      <c r="I910">
        <v>0.1</v>
      </c>
      <c r="J910" t="str">
        <f>_xlfn.XLOOKUP(tblOrders[[#This Row],[ProductID]],Products!$A$2:$A$9,Products!$B$2:$B$9,"Unknown")</f>
        <v>Mouse</v>
      </c>
      <c r="K910" t="str">
        <f>_xlfn.XLOOKUP(tblOrders[[#This Row],[ProductID]],Products!$A$2:$A$9,Products!$C$2:$C$9,"Unknown")</f>
        <v>Accessories</v>
      </c>
      <c r="L910">
        <f>_xlfn.XLOOKUP(tblOrders[[#This Row],[ProductID]],Products!$A$2:$A$9,Products!$D$2:$D$9,0)</f>
        <v>320</v>
      </c>
      <c r="M910">
        <f>tblOrders[[#This Row],[Quantity]]*tblOrders[[#This Row],[UnitPrice]]*(1-tblOrders[[#This Row],[Discount]])</f>
        <v>2700</v>
      </c>
      <c r="N910">
        <f>tblOrders[[#This Row],[Quantity]]*tblOrders[[#This Row],[UnitCost]]</f>
        <v>1920</v>
      </c>
      <c r="O910">
        <f>tblOrders[[#This Row],[Revenue]]-tblOrders[[#This Row],[Cost]]</f>
        <v>780</v>
      </c>
      <c r="P910" t="str">
        <f>TEXT(tblOrders[[#This Row],[OrderDate]],"mmm")</f>
        <v>Jun</v>
      </c>
    </row>
    <row r="911" spans="1:16" x14ac:dyDescent="0.25">
      <c r="A911" t="s">
        <v>223</v>
      </c>
      <c r="B911" s="2">
        <v>45949</v>
      </c>
      <c r="C911" t="s">
        <v>144</v>
      </c>
      <c r="D911" t="s">
        <v>11</v>
      </c>
      <c r="E911" t="s">
        <v>46</v>
      </c>
      <c r="F911" t="s">
        <v>13</v>
      </c>
      <c r="G911">
        <v>6</v>
      </c>
      <c r="H911">
        <v>2000</v>
      </c>
      <c r="I911">
        <v>0</v>
      </c>
      <c r="J911" t="str">
        <f>_xlfn.XLOOKUP(tblOrders[[#This Row],[ProductID]],Products!$A$2:$A$9,Products!$B$2:$B$9,"Unknown")</f>
        <v>Headset</v>
      </c>
      <c r="K911" t="str">
        <f>_xlfn.XLOOKUP(tblOrders[[#This Row],[ProductID]],Products!$A$2:$A$9,Products!$C$2:$C$9,"Unknown")</f>
        <v>Accessories</v>
      </c>
      <c r="L911">
        <f>_xlfn.XLOOKUP(tblOrders[[#This Row],[ProductID]],Products!$A$2:$A$9,Products!$D$2:$D$9,0)</f>
        <v>1300</v>
      </c>
      <c r="M911">
        <f>tblOrders[[#This Row],[Quantity]]*tblOrders[[#This Row],[UnitPrice]]*(1-tblOrders[[#This Row],[Discount]])</f>
        <v>12000</v>
      </c>
      <c r="N911">
        <f>tblOrders[[#This Row],[Quantity]]*tblOrders[[#This Row],[UnitCost]]</f>
        <v>7800</v>
      </c>
      <c r="O911">
        <f>tblOrders[[#This Row],[Revenue]]-tblOrders[[#This Row],[Cost]]</f>
        <v>4200</v>
      </c>
      <c r="P911" t="str">
        <f>TEXT(tblOrders[[#This Row],[OrderDate]],"mmm")</f>
        <v>Oct</v>
      </c>
    </row>
    <row r="912" spans="1:16" x14ac:dyDescent="0.25">
      <c r="A912" t="s">
        <v>847</v>
      </c>
      <c r="B912" s="2">
        <v>45715</v>
      </c>
      <c r="C912" t="s">
        <v>68</v>
      </c>
      <c r="D912" t="s">
        <v>16</v>
      </c>
      <c r="E912" t="s">
        <v>17</v>
      </c>
      <c r="F912" t="s">
        <v>43</v>
      </c>
      <c r="G912">
        <v>6</v>
      </c>
      <c r="H912">
        <v>1500</v>
      </c>
      <c r="I912">
        <v>0</v>
      </c>
      <c r="J912" t="str">
        <f>_xlfn.XLOOKUP(tblOrders[[#This Row],[ProductID]],Products!$A$2:$A$9,Products!$B$2:$B$9,"Unknown")</f>
        <v>Webcam</v>
      </c>
      <c r="K912" t="str">
        <f>_xlfn.XLOOKUP(tblOrders[[#This Row],[ProductID]],Products!$A$2:$A$9,Products!$C$2:$C$9,"Unknown")</f>
        <v>Accessories</v>
      </c>
      <c r="L912">
        <f>_xlfn.XLOOKUP(tblOrders[[#This Row],[ProductID]],Products!$A$2:$A$9,Products!$D$2:$D$9,0)</f>
        <v>980</v>
      </c>
      <c r="M912">
        <f>tblOrders[[#This Row],[Quantity]]*tblOrders[[#This Row],[UnitPrice]]*(1-tblOrders[[#This Row],[Discount]])</f>
        <v>9000</v>
      </c>
      <c r="N912">
        <f>tblOrders[[#This Row],[Quantity]]*tblOrders[[#This Row],[UnitCost]]</f>
        <v>5880</v>
      </c>
      <c r="O912">
        <f>tblOrders[[#This Row],[Revenue]]-tblOrders[[#This Row],[Cost]]</f>
        <v>3120</v>
      </c>
      <c r="P912" t="str">
        <f>TEXT(tblOrders[[#This Row],[OrderDate]],"mmm")</f>
        <v>Feb</v>
      </c>
    </row>
    <row r="913" spans="1:16" x14ac:dyDescent="0.25">
      <c r="A913" t="s">
        <v>923</v>
      </c>
      <c r="B913" s="2">
        <v>45707</v>
      </c>
      <c r="C913" t="s">
        <v>130</v>
      </c>
      <c r="D913" t="s">
        <v>11</v>
      </c>
      <c r="E913" t="s">
        <v>12</v>
      </c>
      <c r="F913" t="s">
        <v>64</v>
      </c>
      <c r="G913">
        <v>12</v>
      </c>
      <c r="H913">
        <v>500</v>
      </c>
      <c r="I913">
        <v>0</v>
      </c>
      <c r="J913" t="str">
        <f>_xlfn.XLOOKUP(tblOrders[[#This Row],[ProductID]],Products!$A$2:$A$9,Products!$B$2:$B$9,"Unknown")</f>
        <v>Mouse</v>
      </c>
      <c r="K913" t="str">
        <f>_xlfn.XLOOKUP(tblOrders[[#This Row],[ProductID]],Products!$A$2:$A$9,Products!$C$2:$C$9,"Unknown")</f>
        <v>Accessories</v>
      </c>
      <c r="L913">
        <f>_xlfn.XLOOKUP(tblOrders[[#This Row],[ProductID]],Products!$A$2:$A$9,Products!$D$2:$D$9,0)</f>
        <v>320</v>
      </c>
      <c r="M913">
        <f>tblOrders[[#This Row],[Quantity]]*tblOrders[[#This Row],[UnitPrice]]*(1-tblOrders[[#This Row],[Discount]])</f>
        <v>6000</v>
      </c>
      <c r="N913">
        <f>tblOrders[[#This Row],[Quantity]]*tblOrders[[#This Row],[UnitCost]]</f>
        <v>3840</v>
      </c>
      <c r="O913">
        <f>tblOrders[[#This Row],[Revenue]]-tblOrders[[#This Row],[Cost]]</f>
        <v>2160</v>
      </c>
      <c r="P913" t="str">
        <f>TEXT(tblOrders[[#This Row],[OrderDate]],"mmm")</f>
        <v>Feb</v>
      </c>
    </row>
    <row r="914" spans="1:16" x14ac:dyDescent="0.25">
      <c r="A914" t="s">
        <v>385</v>
      </c>
      <c r="B914" s="2">
        <v>45928</v>
      </c>
      <c r="C914" t="s">
        <v>50</v>
      </c>
      <c r="D914" t="s">
        <v>21</v>
      </c>
      <c r="E914" t="s">
        <v>28</v>
      </c>
      <c r="F914" t="s">
        <v>13</v>
      </c>
      <c r="G914">
        <v>9</v>
      </c>
      <c r="H914">
        <v>2000</v>
      </c>
      <c r="I914">
        <v>0</v>
      </c>
      <c r="J914" t="str">
        <f>_xlfn.XLOOKUP(tblOrders[[#This Row],[ProductID]],Products!$A$2:$A$9,Products!$B$2:$B$9,"Unknown")</f>
        <v>Headset</v>
      </c>
      <c r="K914" t="str">
        <f>_xlfn.XLOOKUP(tblOrders[[#This Row],[ProductID]],Products!$A$2:$A$9,Products!$C$2:$C$9,"Unknown")</f>
        <v>Accessories</v>
      </c>
      <c r="L914">
        <f>_xlfn.XLOOKUP(tblOrders[[#This Row],[ProductID]],Products!$A$2:$A$9,Products!$D$2:$D$9,0)</f>
        <v>1300</v>
      </c>
      <c r="M914">
        <f>tblOrders[[#This Row],[Quantity]]*tblOrders[[#This Row],[UnitPrice]]*(1-tblOrders[[#This Row],[Discount]])</f>
        <v>18000</v>
      </c>
      <c r="N914">
        <f>tblOrders[[#This Row],[Quantity]]*tblOrders[[#This Row],[UnitCost]]</f>
        <v>11700</v>
      </c>
      <c r="O914">
        <f>tblOrders[[#This Row],[Revenue]]-tblOrders[[#This Row],[Cost]]</f>
        <v>6300</v>
      </c>
      <c r="P914" t="str">
        <f>TEXT(tblOrders[[#This Row],[OrderDate]],"mmm")</f>
        <v>Sep</v>
      </c>
    </row>
    <row r="915" spans="1:16" x14ac:dyDescent="0.25">
      <c r="A915" t="s">
        <v>506</v>
      </c>
      <c r="B915" s="2">
        <v>45749</v>
      </c>
      <c r="C915" t="s">
        <v>99</v>
      </c>
      <c r="D915" t="s">
        <v>11</v>
      </c>
      <c r="E915" t="s">
        <v>12</v>
      </c>
      <c r="F915" t="s">
        <v>34</v>
      </c>
      <c r="G915">
        <v>1</v>
      </c>
      <c r="H915">
        <v>55000</v>
      </c>
      <c r="I915">
        <v>0.1</v>
      </c>
      <c r="J915" t="str">
        <f>_xlfn.XLOOKUP(tblOrders[[#This Row],[ProductID]],Products!$A$2:$A$9,Products!$B$2:$B$9,"Unknown")</f>
        <v>Laptop</v>
      </c>
      <c r="K915" t="str">
        <f>_xlfn.XLOOKUP(tblOrders[[#This Row],[ProductID]],Products!$A$2:$A$9,Products!$C$2:$C$9,"Unknown")</f>
        <v>Electronics</v>
      </c>
      <c r="L915">
        <f>_xlfn.XLOOKUP(tblOrders[[#This Row],[ProductID]],Products!$A$2:$A$9,Products!$D$2:$D$9,0)</f>
        <v>41000</v>
      </c>
      <c r="M915">
        <f>tblOrders[[#This Row],[Quantity]]*tblOrders[[#This Row],[UnitPrice]]*(1-tblOrders[[#This Row],[Discount]])</f>
        <v>49500</v>
      </c>
      <c r="N915">
        <f>tblOrders[[#This Row],[Quantity]]*tblOrders[[#This Row],[UnitCost]]</f>
        <v>41000</v>
      </c>
      <c r="O915">
        <f>tblOrders[[#This Row],[Revenue]]-tblOrders[[#This Row],[Cost]]</f>
        <v>8500</v>
      </c>
      <c r="P915" t="str">
        <f>TEXT(tblOrders[[#This Row],[OrderDate]],"mmm")</f>
        <v>Apr</v>
      </c>
    </row>
    <row r="916" spans="1:16" x14ac:dyDescent="0.25">
      <c r="A916" t="s">
        <v>981</v>
      </c>
      <c r="B916" s="2">
        <v>45764</v>
      </c>
      <c r="C916" t="s">
        <v>171</v>
      </c>
      <c r="D916" t="s">
        <v>16</v>
      </c>
      <c r="E916" t="s">
        <v>33</v>
      </c>
      <c r="F916" t="s">
        <v>34</v>
      </c>
      <c r="G916">
        <v>15</v>
      </c>
      <c r="H916">
        <v>55000</v>
      </c>
      <c r="I916">
        <v>0.15</v>
      </c>
      <c r="J916" t="str">
        <f>_xlfn.XLOOKUP(tblOrders[[#This Row],[ProductID]],Products!$A$2:$A$9,Products!$B$2:$B$9,"Unknown")</f>
        <v>Laptop</v>
      </c>
      <c r="K916" t="str">
        <f>_xlfn.XLOOKUP(tblOrders[[#This Row],[ProductID]],Products!$A$2:$A$9,Products!$C$2:$C$9,"Unknown")</f>
        <v>Electronics</v>
      </c>
      <c r="L916">
        <f>_xlfn.XLOOKUP(tblOrders[[#This Row],[ProductID]],Products!$A$2:$A$9,Products!$D$2:$D$9,0)</f>
        <v>41000</v>
      </c>
      <c r="M916">
        <f>tblOrders[[#This Row],[Quantity]]*tblOrders[[#This Row],[UnitPrice]]*(1-tblOrders[[#This Row],[Discount]])</f>
        <v>701250</v>
      </c>
      <c r="N916">
        <f>tblOrders[[#This Row],[Quantity]]*tblOrders[[#This Row],[UnitCost]]</f>
        <v>615000</v>
      </c>
      <c r="O916">
        <f>tblOrders[[#This Row],[Revenue]]-tblOrders[[#This Row],[Cost]]</f>
        <v>86250</v>
      </c>
      <c r="P916" t="str">
        <f>TEXT(tblOrders[[#This Row],[OrderDate]],"mmm")</f>
        <v>Apr</v>
      </c>
    </row>
    <row r="917" spans="1:16" x14ac:dyDescent="0.25">
      <c r="A917" t="s">
        <v>691</v>
      </c>
      <c r="B917" s="2">
        <v>45934</v>
      </c>
      <c r="C917" t="s">
        <v>42</v>
      </c>
      <c r="D917" t="s">
        <v>39</v>
      </c>
      <c r="E917" t="s">
        <v>40</v>
      </c>
      <c r="F917" t="s">
        <v>43</v>
      </c>
      <c r="G917">
        <v>2</v>
      </c>
      <c r="H917">
        <v>1500</v>
      </c>
      <c r="I917">
        <v>0.1</v>
      </c>
      <c r="J917" t="str">
        <f>_xlfn.XLOOKUP(tblOrders[[#This Row],[ProductID]],Products!$A$2:$A$9,Products!$B$2:$B$9,"Unknown")</f>
        <v>Webcam</v>
      </c>
      <c r="K917" t="str">
        <f>_xlfn.XLOOKUP(tblOrders[[#This Row],[ProductID]],Products!$A$2:$A$9,Products!$C$2:$C$9,"Unknown")</f>
        <v>Accessories</v>
      </c>
      <c r="L917">
        <f>_xlfn.XLOOKUP(tblOrders[[#This Row],[ProductID]],Products!$A$2:$A$9,Products!$D$2:$D$9,0)</f>
        <v>980</v>
      </c>
      <c r="M917">
        <f>tblOrders[[#This Row],[Quantity]]*tblOrders[[#This Row],[UnitPrice]]*(1-tblOrders[[#This Row],[Discount]])</f>
        <v>2700</v>
      </c>
      <c r="N917">
        <f>tblOrders[[#This Row],[Quantity]]*tblOrders[[#This Row],[UnitCost]]</f>
        <v>1960</v>
      </c>
      <c r="O917">
        <f>tblOrders[[#This Row],[Revenue]]-tblOrders[[#This Row],[Cost]]</f>
        <v>740</v>
      </c>
      <c r="P917" t="str">
        <f>TEXT(tblOrders[[#This Row],[OrderDate]],"mmm")</f>
        <v>Oct</v>
      </c>
    </row>
    <row r="918" spans="1:16" x14ac:dyDescent="0.25">
      <c r="A918" t="s">
        <v>157</v>
      </c>
      <c r="B918" s="2">
        <v>45859</v>
      </c>
      <c r="C918" t="s">
        <v>158</v>
      </c>
      <c r="D918" t="s">
        <v>11</v>
      </c>
      <c r="E918" t="s">
        <v>46</v>
      </c>
      <c r="F918" t="s">
        <v>69</v>
      </c>
      <c r="G918">
        <v>15</v>
      </c>
      <c r="H918">
        <v>12000</v>
      </c>
      <c r="I918">
        <v>0</v>
      </c>
      <c r="J918" t="str">
        <f>_xlfn.XLOOKUP(tblOrders[[#This Row],[ProductID]],Products!$A$2:$A$9,Products!$B$2:$B$9,"Unknown")</f>
        <v>Monitor</v>
      </c>
      <c r="K918" t="str">
        <f>_xlfn.XLOOKUP(tblOrders[[#This Row],[ProductID]],Products!$A$2:$A$9,Products!$C$2:$C$9,"Unknown")</f>
        <v>Electronics</v>
      </c>
      <c r="L918">
        <f>_xlfn.XLOOKUP(tblOrders[[#This Row],[ProductID]],Products!$A$2:$A$9,Products!$D$2:$D$9,0)</f>
        <v>9000</v>
      </c>
      <c r="M918">
        <f>tblOrders[[#This Row],[Quantity]]*tblOrders[[#This Row],[UnitPrice]]*(1-tblOrders[[#This Row],[Discount]])</f>
        <v>180000</v>
      </c>
      <c r="N918">
        <f>tblOrders[[#This Row],[Quantity]]*tblOrders[[#This Row],[UnitCost]]</f>
        <v>135000</v>
      </c>
      <c r="O918">
        <f>tblOrders[[#This Row],[Revenue]]-tblOrders[[#This Row],[Cost]]</f>
        <v>45000</v>
      </c>
      <c r="P918" t="str">
        <f>TEXT(tblOrders[[#This Row],[OrderDate]],"mmm")</f>
        <v>Jul</v>
      </c>
    </row>
    <row r="919" spans="1:16" x14ac:dyDescent="0.25">
      <c r="A919" t="s">
        <v>618</v>
      </c>
      <c r="B919" s="2">
        <v>45682</v>
      </c>
      <c r="C919" t="s">
        <v>57</v>
      </c>
      <c r="D919" t="s">
        <v>39</v>
      </c>
      <c r="E919" t="s">
        <v>76</v>
      </c>
      <c r="F919" t="s">
        <v>34</v>
      </c>
      <c r="G919">
        <v>12</v>
      </c>
      <c r="H919">
        <v>55000</v>
      </c>
      <c r="I919">
        <v>0.05</v>
      </c>
      <c r="J919" t="str">
        <f>_xlfn.XLOOKUP(tblOrders[[#This Row],[ProductID]],Products!$A$2:$A$9,Products!$B$2:$B$9,"Unknown")</f>
        <v>Laptop</v>
      </c>
      <c r="K919" t="str">
        <f>_xlfn.XLOOKUP(tblOrders[[#This Row],[ProductID]],Products!$A$2:$A$9,Products!$C$2:$C$9,"Unknown")</f>
        <v>Electronics</v>
      </c>
      <c r="L919">
        <f>_xlfn.XLOOKUP(tblOrders[[#This Row],[ProductID]],Products!$A$2:$A$9,Products!$D$2:$D$9,0)</f>
        <v>41000</v>
      </c>
      <c r="M919">
        <f>tblOrders[[#This Row],[Quantity]]*tblOrders[[#This Row],[UnitPrice]]*(1-tblOrders[[#This Row],[Discount]])</f>
        <v>627000</v>
      </c>
      <c r="N919">
        <f>tblOrders[[#This Row],[Quantity]]*tblOrders[[#This Row],[UnitCost]]</f>
        <v>492000</v>
      </c>
      <c r="O919">
        <f>tblOrders[[#This Row],[Revenue]]-tblOrders[[#This Row],[Cost]]</f>
        <v>135000</v>
      </c>
      <c r="P919" t="str">
        <f>TEXT(tblOrders[[#This Row],[OrderDate]],"mmm")</f>
        <v>Jan</v>
      </c>
    </row>
    <row r="920" spans="1:16" x14ac:dyDescent="0.25">
      <c r="A920" t="s">
        <v>865</v>
      </c>
      <c r="B920" s="2">
        <v>45725</v>
      </c>
      <c r="C920" t="s">
        <v>73</v>
      </c>
      <c r="D920" t="s">
        <v>21</v>
      </c>
      <c r="E920" t="s">
        <v>22</v>
      </c>
      <c r="F920" t="s">
        <v>23</v>
      </c>
      <c r="G920">
        <v>13</v>
      </c>
      <c r="H920">
        <v>900</v>
      </c>
      <c r="I920">
        <v>0</v>
      </c>
      <c r="J920" t="str">
        <f>_xlfn.XLOOKUP(tblOrders[[#This Row],[ProductID]],Products!$A$2:$A$9,Products!$B$2:$B$9,"Unknown")</f>
        <v>Keyboard</v>
      </c>
      <c r="K920" t="str">
        <f>_xlfn.XLOOKUP(tblOrders[[#This Row],[ProductID]],Products!$A$2:$A$9,Products!$C$2:$C$9,"Unknown")</f>
        <v>Accessories</v>
      </c>
      <c r="L920">
        <f>_xlfn.XLOOKUP(tblOrders[[#This Row],[ProductID]],Products!$A$2:$A$9,Products!$D$2:$D$9,0)</f>
        <v>600</v>
      </c>
      <c r="M920">
        <f>tblOrders[[#This Row],[Quantity]]*tblOrders[[#This Row],[UnitPrice]]*(1-tblOrders[[#This Row],[Discount]])</f>
        <v>11700</v>
      </c>
      <c r="N920">
        <f>tblOrders[[#This Row],[Quantity]]*tblOrders[[#This Row],[UnitCost]]</f>
        <v>7800</v>
      </c>
      <c r="O920">
        <f>tblOrders[[#This Row],[Revenue]]-tblOrders[[#This Row],[Cost]]</f>
        <v>3900</v>
      </c>
      <c r="P920" t="str">
        <f>TEXT(tblOrders[[#This Row],[OrderDate]],"mmm")</f>
        <v>Mar</v>
      </c>
    </row>
    <row r="921" spans="1:16" x14ac:dyDescent="0.25">
      <c r="A921" t="s">
        <v>352</v>
      </c>
      <c r="B921" s="2">
        <v>45866</v>
      </c>
      <c r="C921" t="s">
        <v>57</v>
      </c>
      <c r="D921" t="s">
        <v>39</v>
      </c>
      <c r="E921" t="s">
        <v>76</v>
      </c>
      <c r="F921" t="s">
        <v>69</v>
      </c>
      <c r="G921">
        <v>9</v>
      </c>
      <c r="H921">
        <v>12000</v>
      </c>
      <c r="I921">
        <v>0.05</v>
      </c>
      <c r="J921" t="str">
        <f>_xlfn.XLOOKUP(tblOrders[[#This Row],[ProductID]],Products!$A$2:$A$9,Products!$B$2:$B$9,"Unknown")</f>
        <v>Monitor</v>
      </c>
      <c r="K921" t="str">
        <f>_xlfn.XLOOKUP(tblOrders[[#This Row],[ProductID]],Products!$A$2:$A$9,Products!$C$2:$C$9,"Unknown")</f>
        <v>Electronics</v>
      </c>
      <c r="L921">
        <f>_xlfn.XLOOKUP(tblOrders[[#This Row],[ProductID]],Products!$A$2:$A$9,Products!$D$2:$D$9,0)</f>
        <v>9000</v>
      </c>
      <c r="M921">
        <f>tblOrders[[#This Row],[Quantity]]*tblOrders[[#This Row],[UnitPrice]]*(1-tblOrders[[#This Row],[Discount]])</f>
        <v>102600</v>
      </c>
      <c r="N921">
        <f>tblOrders[[#This Row],[Quantity]]*tblOrders[[#This Row],[UnitCost]]</f>
        <v>81000</v>
      </c>
      <c r="O921">
        <f>tblOrders[[#This Row],[Revenue]]-tblOrders[[#This Row],[Cost]]</f>
        <v>21600</v>
      </c>
      <c r="P921" t="str">
        <f>TEXT(tblOrders[[#This Row],[OrderDate]],"mmm")</f>
        <v>Jul</v>
      </c>
    </row>
    <row r="922" spans="1:16" x14ac:dyDescent="0.25">
      <c r="A922" t="s">
        <v>192</v>
      </c>
      <c r="B922" s="2">
        <v>45866</v>
      </c>
      <c r="C922" t="s">
        <v>99</v>
      </c>
      <c r="D922" t="s">
        <v>39</v>
      </c>
      <c r="E922" t="s">
        <v>76</v>
      </c>
      <c r="F922" t="s">
        <v>23</v>
      </c>
      <c r="G922">
        <v>12</v>
      </c>
      <c r="H922">
        <v>900</v>
      </c>
      <c r="I922">
        <v>0.1</v>
      </c>
      <c r="J922" t="str">
        <f>_xlfn.XLOOKUP(tblOrders[[#This Row],[ProductID]],Products!$A$2:$A$9,Products!$B$2:$B$9,"Unknown")</f>
        <v>Keyboard</v>
      </c>
      <c r="K922" t="str">
        <f>_xlfn.XLOOKUP(tblOrders[[#This Row],[ProductID]],Products!$A$2:$A$9,Products!$C$2:$C$9,"Unknown")</f>
        <v>Accessories</v>
      </c>
      <c r="L922">
        <f>_xlfn.XLOOKUP(tblOrders[[#This Row],[ProductID]],Products!$A$2:$A$9,Products!$D$2:$D$9,0)</f>
        <v>600</v>
      </c>
      <c r="M922">
        <f>tblOrders[[#This Row],[Quantity]]*tblOrders[[#This Row],[UnitPrice]]*(1-tblOrders[[#This Row],[Discount]])</f>
        <v>9720</v>
      </c>
      <c r="N922">
        <f>tblOrders[[#This Row],[Quantity]]*tblOrders[[#This Row],[UnitCost]]</f>
        <v>7200</v>
      </c>
      <c r="O922">
        <f>tblOrders[[#This Row],[Revenue]]-tblOrders[[#This Row],[Cost]]</f>
        <v>2520</v>
      </c>
      <c r="P922" t="str">
        <f>TEXT(tblOrders[[#This Row],[OrderDate]],"mmm")</f>
        <v>Jul</v>
      </c>
    </row>
    <row r="923" spans="1:16" x14ac:dyDescent="0.25">
      <c r="A923" t="s">
        <v>548</v>
      </c>
      <c r="B923" s="2">
        <v>45936</v>
      </c>
      <c r="C923" t="s">
        <v>30</v>
      </c>
      <c r="D923" t="s">
        <v>11</v>
      </c>
      <c r="E923" t="s">
        <v>12</v>
      </c>
      <c r="F923" t="s">
        <v>64</v>
      </c>
      <c r="G923">
        <v>14</v>
      </c>
      <c r="H923">
        <v>500</v>
      </c>
      <c r="I923">
        <v>0.1</v>
      </c>
      <c r="J923" t="str">
        <f>_xlfn.XLOOKUP(tblOrders[[#This Row],[ProductID]],Products!$A$2:$A$9,Products!$B$2:$B$9,"Unknown")</f>
        <v>Mouse</v>
      </c>
      <c r="K923" t="str">
        <f>_xlfn.XLOOKUP(tblOrders[[#This Row],[ProductID]],Products!$A$2:$A$9,Products!$C$2:$C$9,"Unknown")</f>
        <v>Accessories</v>
      </c>
      <c r="L923">
        <f>_xlfn.XLOOKUP(tblOrders[[#This Row],[ProductID]],Products!$A$2:$A$9,Products!$D$2:$D$9,0)</f>
        <v>320</v>
      </c>
      <c r="M923">
        <f>tblOrders[[#This Row],[Quantity]]*tblOrders[[#This Row],[UnitPrice]]*(1-tblOrders[[#This Row],[Discount]])</f>
        <v>6300</v>
      </c>
      <c r="N923">
        <f>tblOrders[[#This Row],[Quantity]]*tblOrders[[#This Row],[UnitCost]]</f>
        <v>4480</v>
      </c>
      <c r="O923">
        <f>tblOrders[[#This Row],[Revenue]]-tblOrders[[#This Row],[Cost]]</f>
        <v>1820</v>
      </c>
      <c r="P923" t="str">
        <f>TEXT(tblOrders[[#This Row],[OrderDate]],"mmm")</f>
        <v>Oct</v>
      </c>
    </row>
    <row r="924" spans="1:16" x14ac:dyDescent="0.25">
      <c r="A924" t="s">
        <v>687</v>
      </c>
      <c r="B924" s="2">
        <v>45724</v>
      </c>
      <c r="C924" t="s">
        <v>158</v>
      </c>
      <c r="D924" t="s">
        <v>39</v>
      </c>
      <c r="E924" t="s">
        <v>76</v>
      </c>
      <c r="F924" t="s">
        <v>64</v>
      </c>
      <c r="G924">
        <v>8</v>
      </c>
      <c r="H924">
        <v>500</v>
      </c>
      <c r="I924">
        <v>0.05</v>
      </c>
      <c r="J924" t="str">
        <f>_xlfn.XLOOKUP(tblOrders[[#This Row],[ProductID]],Products!$A$2:$A$9,Products!$B$2:$B$9,"Unknown")</f>
        <v>Mouse</v>
      </c>
      <c r="K924" t="str">
        <f>_xlfn.XLOOKUP(tblOrders[[#This Row],[ProductID]],Products!$A$2:$A$9,Products!$C$2:$C$9,"Unknown")</f>
        <v>Accessories</v>
      </c>
      <c r="L924">
        <f>_xlfn.XLOOKUP(tblOrders[[#This Row],[ProductID]],Products!$A$2:$A$9,Products!$D$2:$D$9,0)</f>
        <v>320</v>
      </c>
      <c r="M924">
        <f>tblOrders[[#This Row],[Quantity]]*tblOrders[[#This Row],[UnitPrice]]*(1-tblOrders[[#This Row],[Discount]])</f>
        <v>3800</v>
      </c>
      <c r="N924">
        <f>tblOrders[[#This Row],[Quantity]]*tblOrders[[#This Row],[UnitCost]]</f>
        <v>2560</v>
      </c>
      <c r="O924">
        <f>tblOrders[[#This Row],[Revenue]]-tblOrders[[#This Row],[Cost]]</f>
        <v>1240</v>
      </c>
      <c r="P924" t="str">
        <f>TEXT(tblOrders[[#This Row],[OrderDate]],"mmm")</f>
        <v>Mar</v>
      </c>
    </row>
    <row r="925" spans="1:16" x14ac:dyDescent="0.25">
      <c r="A925" t="s">
        <v>670</v>
      </c>
      <c r="B925" s="2">
        <v>46010</v>
      </c>
      <c r="C925" t="s">
        <v>229</v>
      </c>
      <c r="D925" t="s">
        <v>16</v>
      </c>
      <c r="E925" t="s">
        <v>17</v>
      </c>
      <c r="F925" t="s">
        <v>64</v>
      </c>
      <c r="G925">
        <v>14</v>
      </c>
      <c r="H925">
        <v>500</v>
      </c>
      <c r="I925">
        <v>0</v>
      </c>
      <c r="J925" t="str">
        <f>_xlfn.XLOOKUP(tblOrders[[#This Row],[ProductID]],Products!$A$2:$A$9,Products!$B$2:$B$9,"Unknown")</f>
        <v>Mouse</v>
      </c>
      <c r="K925" t="str">
        <f>_xlfn.XLOOKUP(tblOrders[[#This Row],[ProductID]],Products!$A$2:$A$9,Products!$C$2:$C$9,"Unknown")</f>
        <v>Accessories</v>
      </c>
      <c r="L925">
        <f>_xlfn.XLOOKUP(tblOrders[[#This Row],[ProductID]],Products!$A$2:$A$9,Products!$D$2:$D$9,0)</f>
        <v>320</v>
      </c>
      <c r="M925">
        <f>tblOrders[[#This Row],[Quantity]]*tblOrders[[#This Row],[UnitPrice]]*(1-tblOrders[[#This Row],[Discount]])</f>
        <v>7000</v>
      </c>
      <c r="N925">
        <f>tblOrders[[#This Row],[Quantity]]*tblOrders[[#This Row],[UnitCost]]</f>
        <v>4480</v>
      </c>
      <c r="O925">
        <f>tblOrders[[#This Row],[Revenue]]-tblOrders[[#This Row],[Cost]]</f>
        <v>2520</v>
      </c>
      <c r="P925" t="str">
        <f>TEXT(tblOrders[[#This Row],[OrderDate]],"mmm")</f>
        <v>Dec</v>
      </c>
    </row>
    <row r="926" spans="1:16" x14ac:dyDescent="0.25">
      <c r="A926" t="s">
        <v>744</v>
      </c>
      <c r="B926" s="2">
        <v>45692</v>
      </c>
      <c r="C926" t="s">
        <v>61</v>
      </c>
      <c r="D926" t="s">
        <v>11</v>
      </c>
      <c r="E926" t="s">
        <v>12</v>
      </c>
      <c r="F926" t="s">
        <v>23</v>
      </c>
      <c r="G926">
        <v>4</v>
      </c>
      <c r="H926">
        <v>900</v>
      </c>
      <c r="I926">
        <v>0</v>
      </c>
      <c r="J926" t="str">
        <f>_xlfn.XLOOKUP(tblOrders[[#This Row],[ProductID]],Products!$A$2:$A$9,Products!$B$2:$B$9,"Unknown")</f>
        <v>Keyboard</v>
      </c>
      <c r="K926" t="str">
        <f>_xlfn.XLOOKUP(tblOrders[[#This Row],[ProductID]],Products!$A$2:$A$9,Products!$C$2:$C$9,"Unknown")</f>
        <v>Accessories</v>
      </c>
      <c r="L926">
        <f>_xlfn.XLOOKUP(tblOrders[[#This Row],[ProductID]],Products!$A$2:$A$9,Products!$D$2:$D$9,0)</f>
        <v>600</v>
      </c>
      <c r="M926">
        <f>tblOrders[[#This Row],[Quantity]]*tblOrders[[#This Row],[UnitPrice]]*(1-tblOrders[[#This Row],[Discount]])</f>
        <v>3600</v>
      </c>
      <c r="N926">
        <f>tblOrders[[#This Row],[Quantity]]*tblOrders[[#This Row],[UnitCost]]</f>
        <v>2400</v>
      </c>
      <c r="O926">
        <f>tblOrders[[#This Row],[Revenue]]-tblOrders[[#This Row],[Cost]]</f>
        <v>1200</v>
      </c>
      <c r="P926" t="str">
        <f>TEXT(tblOrders[[#This Row],[OrderDate]],"mmm")</f>
        <v>Feb</v>
      </c>
    </row>
    <row r="927" spans="1:16" x14ac:dyDescent="0.25">
      <c r="A927" t="s">
        <v>1077</v>
      </c>
      <c r="B927" s="2">
        <v>45810</v>
      </c>
      <c r="C927" t="s">
        <v>57</v>
      </c>
      <c r="D927" t="s">
        <v>16</v>
      </c>
      <c r="E927" t="s">
        <v>17</v>
      </c>
      <c r="F927" t="s">
        <v>64</v>
      </c>
      <c r="G927">
        <v>10</v>
      </c>
      <c r="H927">
        <v>500</v>
      </c>
      <c r="I927">
        <v>0.05</v>
      </c>
      <c r="J927" t="str">
        <f>_xlfn.XLOOKUP(tblOrders[[#This Row],[ProductID]],Products!$A$2:$A$9,Products!$B$2:$B$9,"Unknown")</f>
        <v>Mouse</v>
      </c>
      <c r="K927" t="str">
        <f>_xlfn.XLOOKUP(tblOrders[[#This Row],[ProductID]],Products!$A$2:$A$9,Products!$C$2:$C$9,"Unknown")</f>
        <v>Accessories</v>
      </c>
      <c r="L927">
        <f>_xlfn.XLOOKUP(tblOrders[[#This Row],[ProductID]],Products!$A$2:$A$9,Products!$D$2:$D$9,0)</f>
        <v>320</v>
      </c>
      <c r="M927">
        <f>tblOrders[[#This Row],[Quantity]]*tblOrders[[#This Row],[UnitPrice]]*(1-tblOrders[[#This Row],[Discount]])</f>
        <v>4750</v>
      </c>
      <c r="N927">
        <f>tblOrders[[#This Row],[Quantity]]*tblOrders[[#This Row],[UnitCost]]</f>
        <v>3200</v>
      </c>
      <c r="O927">
        <f>tblOrders[[#This Row],[Revenue]]-tblOrders[[#This Row],[Cost]]</f>
        <v>1550</v>
      </c>
      <c r="P927" t="str">
        <f>TEXT(tblOrders[[#This Row],[OrderDate]],"mmm")</f>
        <v>Jun</v>
      </c>
    </row>
    <row r="928" spans="1:16" x14ac:dyDescent="0.25">
      <c r="A928" t="s">
        <v>388</v>
      </c>
      <c r="B928" s="2">
        <v>45719</v>
      </c>
      <c r="C928" t="s">
        <v>54</v>
      </c>
      <c r="D928" t="s">
        <v>39</v>
      </c>
      <c r="E928" t="s">
        <v>40</v>
      </c>
      <c r="F928" t="s">
        <v>13</v>
      </c>
      <c r="G928">
        <v>8</v>
      </c>
      <c r="H928">
        <v>2000</v>
      </c>
      <c r="I928">
        <v>0</v>
      </c>
      <c r="J928" t="str">
        <f>_xlfn.XLOOKUP(tblOrders[[#This Row],[ProductID]],Products!$A$2:$A$9,Products!$B$2:$B$9,"Unknown")</f>
        <v>Headset</v>
      </c>
      <c r="K928" t="str">
        <f>_xlfn.XLOOKUP(tblOrders[[#This Row],[ProductID]],Products!$A$2:$A$9,Products!$C$2:$C$9,"Unknown")</f>
        <v>Accessories</v>
      </c>
      <c r="L928">
        <f>_xlfn.XLOOKUP(tblOrders[[#This Row],[ProductID]],Products!$A$2:$A$9,Products!$D$2:$D$9,0)</f>
        <v>1300</v>
      </c>
      <c r="M928">
        <f>tblOrders[[#This Row],[Quantity]]*tblOrders[[#This Row],[UnitPrice]]*(1-tblOrders[[#This Row],[Discount]])</f>
        <v>16000</v>
      </c>
      <c r="N928">
        <f>tblOrders[[#This Row],[Quantity]]*tblOrders[[#This Row],[UnitCost]]</f>
        <v>10400</v>
      </c>
      <c r="O928">
        <f>tblOrders[[#This Row],[Revenue]]-tblOrders[[#This Row],[Cost]]</f>
        <v>5600</v>
      </c>
      <c r="P928" t="str">
        <f>TEXT(tblOrders[[#This Row],[OrderDate]],"mmm")</f>
        <v>Mar</v>
      </c>
    </row>
    <row r="929" spans="1:16" x14ac:dyDescent="0.25">
      <c r="A929" t="s">
        <v>1016</v>
      </c>
      <c r="B929" s="2">
        <v>45912</v>
      </c>
      <c r="C929" t="s">
        <v>32</v>
      </c>
      <c r="D929" t="s">
        <v>11</v>
      </c>
      <c r="E929" t="s">
        <v>46</v>
      </c>
      <c r="F929" t="s">
        <v>69</v>
      </c>
      <c r="G929">
        <v>7</v>
      </c>
      <c r="H929">
        <v>12000</v>
      </c>
      <c r="I929">
        <v>0</v>
      </c>
      <c r="J929" t="str">
        <f>_xlfn.XLOOKUP(tblOrders[[#This Row],[ProductID]],Products!$A$2:$A$9,Products!$B$2:$B$9,"Unknown")</f>
        <v>Monitor</v>
      </c>
      <c r="K929" t="str">
        <f>_xlfn.XLOOKUP(tblOrders[[#This Row],[ProductID]],Products!$A$2:$A$9,Products!$C$2:$C$9,"Unknown")</f>
        <v>Electronics</v>
      </c>
      <c r="L929">
        <f>_xlfn.XLOOKUP(tblOrders[[#This Row],[ProductID]],Products!$A$2:$A$9,Products!$D$2:$D$9,0)</f>
        <v>9000</v>
      </c>
      <c r="M929">
        <f>tblOrders[[#This Row],[Quantity]]*tblOrders[[#This Row],[UnitPrice]]*(1-tblOrders[[#This Row],[Discount]])</f>
        <v>84000</v>
      </c>
      <c r="N929">
        <f>tblOrders[[#This Row],[Quantity]]*tblOrders[[#This Row],[UnitCost]]</f>
        <v>63000</v>
      </c>
      <c r="O929">
        <f>tblOrders[[#This Row],[Revenue]]-tblOrders[[#This Row],[Cost]]</f>
        <v>21000</v>
      </c>
      <c r="P929" t="str">
        <f>TEXT(tblOrders[[#This Row],[OrderDate]],"mmm")</f>
        <v>Sep</v>
      </c>
    </row>
    <row r="930" spans="1:16" x14ac:dyDescent="0.25">
      <c r="A930" t="s">
        <v>339</v>
      </c>
      <c r="B930" s="2">
        <v>46015</v>
      </c>
      <c r="C930" t="s">
        <v>149</v>
      </c>
      <c r="D930" t="s">
        <v>11</v>
      </c>
      <c r="E930" t="s">
        <v>12</v>
      </c>
      <c r="F930" t="s">
        <v>64</v>
      </c>
      <c r="G930">
        <v>12</v>
      </c>
      <c r="H930">
        <v>500</v>
      </c>
      <c r="I930">
        <v>0.05</v>
      </c>
      <c r="J930" t="str">
        <f>_xlfn.XLOOKUP(tblOrders[[#This Row],[ProductID]],Products!$A$2:$A$9,Products!$B$2:$B$9,"Unknown")</f>
        <v>Mouse</v>
      </c>
      <c r="K930" t="str">
        <f>_xlfn.XLOOKUP(tblOrders[[#This Row],[ProductID]],Products!$A$2:$A$9,Products!$C$2:$C$9,"Unknown")</f>
        <v>Accessories</v>
      </c>
      <c r="L930">
        <f>_xlfn.XLOOKUP(tblOrders[[#This Row],[ProductID]],Products!$A$2:$A$9,Products!$D$2:$D$9,0)</f>
        <v>320</v>
      </c>
      <c r="M930">
        <f>tblOrders[[#This Row],[Quantity]]*tblOrders[[#This Row],[UnitPrice]]*(1-tblOrders[[#This Row],[Discount]])</f>
        <v>5700</v>
      </c>
      <c r="N930">
        <f>tblOrders[[#This Row],[Quantity]]*tblOrders[[#This Row],[UnitCost]]</f>
        <v>3840</v>
      </c>
      <c r="O930">
        <f>tblOrders[[#This Row],[Revenue]]-tblOrders[[#This Row],[Cost]]</f>
        <v>1860</v>
      </c>
      <c r="P930" t="str">
        <f>TEXT(tblOrders[[#This Row],[OrderDate]],"mmm")</f>
        <v>Dec</v>
      </c>
    </row>
    <row r="931" spans="1:16" x14ac:dyDescent="0.25">
      <c r="A931" t="s">
        <v>41</v>
      </c>
      <c r="B931" s="2">
        <v>45866</v>
      </c>
      <c r="C931" t="s">
        <v>42</v>
      </c>
      <c r="D931" t="s">
        <v>21</v>
      </c>
      <c r="E931" t="s">
        <v>22</v>
      </c>
      <c r="F931" t="s">
        <v>43</v>
      </c>
      <c r="G931">
        <v>13</v>
      </c>
      <c r="H931">
        <v>1500</v>
      </c>
      <c r="I931">
        <v>0</v>
      </c>
      <c r="J931" t="str">
        <f>_xlfn.XLOOKUP(tblOrders[[#This Row],[ProductID]],Products!$A$2:$A$9,Products!$B$2:$B$9,"Unknown")</f>
        <v>Webcam</v>
      </c>
      <c r="K931" t="str">
        <f>_xlfn.XLOOKUP(tblOrders[[#This Row],[ProductID]],Products!$A$2:$A$9,Products!$C$2:$C$9,"Unknown")</f>
        <v>Accessories</v>
      </c>
      <c r="L931">
        <f>_xlfn.XLOOKUP(tblOrders[[#This Row],[ProductID]],Products!$A$2:$A$9,Products!$D$2:$D$9,0)</f>
        <v>980</v>
      </c>
      <c r="M931">
        <f>tblOrders[[#This Row],[Quantity]]*tblOrders[[#This Row],[UnitPrice]]*(1-tblOrders[[#This Row],[Discount]])</f>
        <v>19500</v>
      </c>
      <c r="N931">
        <f>tblOrders[[#This Row],[Quantity]]*tblOrders[[#This Row],[UnitCost]]</f>
        <v>12740</v>
      </c>
      <c r="O931">
        <f>tblOrders[[#This Row],[Revenue]]-tblOrders[[#This Row],[Cost]]</f>
        <v>6760</v>
      </c>
      <c r="P931" t="str">
        <f>TEXT(tblOrders[[#This Row],[OrderDate]],"mmm")</f>
        <v>Jul</v>
      </c>
    </row>
    <row r="932" spans="1:16" x14ac:dyDescent="0.25">
      <c r="A932" t="s">
        <v>962</v>
      </c>
      <c r="B932" s="2">
        <v>45848</v>
      </c>
      <c r="C932" t="s">
        <v>10</v>
      </c>
      <c r="D932" t="s">
        <v>21</v>
      </c>
      <c r="E932" t="s">
        <v>22</v>
      </c>
      <c r="F932" t="s">
        <v>55</v>
      </c>
      <c r="G932">
        <v>15</v>
      </c>
      <c r="H932">
        <v>8000</v>
      </c>
      <c r="I932">
        <v>0</v>
      </c>
      <c r="J932" t="str">
        <f>_xlfn.XLOOKUP(tblOrders[[#This Row],[ProductID]],Products!$A$2:$A$9,Products!$B$2:$B$9,"Unknown")</f>
        <v>Printer</v>
      </c>
      <c r="K932" t="str">
        <f>_xlfn.XLOOKUP(tblOrders[[#This Row],[ProductID]],Products!$A$2:$A$9,Products!$C$2:$C$9,"Unknown")</f>
        <v>Electronics</v>
      </c>
      <c r="L932">
        <f>_xlfn.XLOOKUP(tblOrders[[#This Row],[ProductID]],Products!$A$2:$A$9,Products!$D$2:$D$9,0)</f>
        <v>6200</v>
      </c>
      <c r="M932">
        <f>tblOrders[[#This Row],[Quantity]]*tblOrders[[#This Row],[UnitPrice]]*(1-tblOrders[[#This Row],[Discount]])</f>
        <v>120000</v>
      </c>
      <c r="N932">
        <f>tblOrders[[#This Row],[Quantity]]*tblOrders[[#This Row],[UnitCost]]</f>
        <v>93000</v>
      </c>
      <c r="O932">
        <f>tblOrders[[#This Row],[Revenue]]-tblOrders[[#This Row],[Cost]]</f>
        <v>27000</v>
      </c>
      <c r="P932" t="str">
        <f>TEXT(tblOrders[[#This Row],[OrderDate]],"mmm")</f>
        <v>Jul</v>
      </c>
    </row>
    <row r="933" spans="1:16" x14ac:dyDescent="0.25">
      <c r="A933" t="s">
        <v>625</v>
      </c>
      <c r="B933" s="2">
        <v>45830</v>
      </c>
      <c r="C933" t="s">
        <v>107</v>
      </c>
      <c r="D933" t="s">
        <v>16</v>
      </c>
      <c r="E933" t="s">
        <v>17</v>
      </c>
      <c r="F933" t="s">
        <v>18</v>
      </c>
      <c r="G933">
        <v>11</v>
      </c>
      <c r="H933">
        <v>18000</v>
      </c>
      <c r="I933">
        <v>0</v>
      </c>
      <c r="J933" t="str">
        <f>_xlfn.XLOOKUP(tblOrders[[#This Row],[ProductID]],Products!$A$2:$A$9,Products!$B$2:$B$9,"Unknown")</f>
        <v>Tablet</v>
      </c>
      <c r="K933" t="str">
        <f>_xlfn.XLOOKUP(tblOrders[[#This Row],[ProductID]],Products!$A$2:$A$9,Products!$C$2:$C$9,"Unknown")</f>
        <v>Electronics</v>
      </c>
      <c r="L933">
        <f>_xlfn.XLOOKUP(tblOrders[[#This Row],[ProductID]],Products!$A$2:$A$9,Products!$D$2:$D$9,0)</f>
        <v>13500</v>
      </c>
      <c r="M933">
        <f>tblOrders[[#This Row],[Quantity]]*tblOrders[[#This Row],[UnitPrice]]*(1-tblOrders[[#This Row],[Discount]])</f>
        <v>198000</v>
      </c>
      <c r="N933">
        <f>tblOrders[[#This Row],[Quantity]]*tblOrders[[#This Row],[UnitCost]]</f>
        <v>148500</v>
      </c>
      <c r="O933">
        <f>tblOrders[[#This Row],[Revenue]]-tblOrders[[#This Row],[Cost]]</f>
        <v>49500</v>
      </c>
      <c r="P933" t="str">
        <f>TEXT(tblOrders[[#This Row],[OrderDate]],"mmm")</f>
        <v>Jun</v>
      </c>
    </row>
    <row r="934" spans="1:16" x14ac:dyDescent="0.25">
      <c r="A934" t="s">
        <v>152</v>
      </c>
      <c r="B934" s="2">
        <v>45884</v>
      </c>
      <c r="C934" t="s">
        <v>153</v>
      </c>
      <c r="D934" t="s">
        <v>21</v>
      </c>
      <c r="E934" t="s">
        <v>28</v>
      </c>
      <c r="F934" t="s">
        <v>18</v>
      </c>
      <c r="G934">
        <v>12</v>
      </c>
      <c r="H934">
        <v>18000</v>
      </c>
      <c r="I934">
        <v>0</v>
      </c>
      <c r="J934" t="str">
        <f>_xlfn.XLOOKUP(tblOrders[[#This Row],[ProductID]],Products!$A$2:$A$9,Products!$B$2:$B$9,"Unknown")</f>
        <v>Tablet</v>
      </c>
      <c r="K934" t="str">
        <f>_xlfn.XLOOKUP(tblOrders[[#This Row],[ProductID]],Products!$A$2:$A$9,Products!$C$2:$C$9,"Unknown")</f>
        <v>Electronics</v>
      </c>
      <c r="L934">
        <f>_xlfn.XLOOKUP(tblOrders[[#This Row],[ProductID]],Products!$A$2:$A$9,Products!$D$2:$D$9,0)</f>
        <v>13500</v>
      </c>
      <c r="M934">
        <f>tblOrders[[#This Row],[Quantity]]*tblOrders[[#This Row],[UnitPrice]]*(1-tblOrders[[#This Row],[Discount]])</f>
        <v>216000</v>
      </c>
      <c r="N934">
        <f>tblOrders[[#This Row],[Quantity]]*tblOrders[[#This Row],[UnitCost]]</f>
        <v>162000</v>
      </c>
      <c r="O934">
        <f>tblOrders[[#This Row],[Revenue]]-tblOrders[[#This Row],[Cost]]</f>
        <v>54000</v>
      </c>
      <c r="P934" t="str">
        <f>TEXT(tblOrders[[#This Row],[OrderDate]],"mmm")</f>
        <v>Aug</v>
      </c>
    </row>
    <row r="935" spans="1:16" x14ac:dyDescent="0.25">
      <c r="A935" t="s">
        <v>1000</v>
      </c>
      <c r="B935" s="2">
        <v>45749</v>
      </c>
      <c r="C935" t="s">
        <v>136</v>
      </c>
      <c r="D935" t="s">
        <v>11</v>
      </c>
      <c r="E935" t="s">
        <v>12</v>
      </c>
      <c r="F935" t="s">
        <v>13</v>
      </c>
      <c r="G935">
        <v>5</v>
      </c>
      <c r="H935">
        <v>2000</v>
      </c>
      <c r="I935">
        <v>0.1</v>
      </c>
      <c r="J935" t="str">
        <f>_xlfn.XLOOKUP(tblOrders[[#This Row],[ProductID]],Products!$A$2:$A$9,Products!$B$2:$B$9,"Unknown")</f>
        <v>Headset</v>
      </c>
      <c r="K935" t="str">
        <f>_xlfn.XLOOKUP(tblOrders[[#This Row],[ProductID]],Products!$A$2:$A$9,Products!$C$2:$C$9,"Unknown")</f>
        <v>Accessories</v>
      </c>
      <c r="L935">
        <f>_xlfn.XLOOKUP(tblOrders[[#This Row],[ProductID]],Products!$A$2:$A$9,Products!$D$2:$D$9,0)</f>
        <v>1300</v>
      </c>
      <c r="M935">
        <f>tblOrders[[#This Row],[Quantity]]*tblOrders[[#This Row],[UnitPrice]]*(1-tblOrders[[#This Row],[Discount]])</f>
        <v>9000</v>
      </c>
      <c r="N935">
        <f>tblOrders[[#This Row],[Quantity]]*tblOrders[[#This Row],[UnitCost]]</f>
        <v>6500</v>
      </c>
      <c r="O935">
        <f>tblOrders[[#This Row],[Revenue]]-tblOrders[[#This Row],[Cost]]</f>
        <v>2500</v>
      </c>
      <c r="P935" t="str">
        <f>TEXT(tblOrders[[#This Row],[OrderDate]],"mmm")</f>
        <v>Apr</v>
      </c>
    </row>
    <row r="936" spans="1:16" x14ac:dyDescent="0.25">
      <c r="A936" t="s">
        <v>585</v>
      </c>
      <c r="B936" s="2">
        <v>45891</v>
      </c>
      <c r="C936" t="s">
        <v>238</v>
      </c>
      <c r="D936" t="s">
        <v>16</v>
      </c>
      <c r="E936" t="s">
        <v>33</v>
      </c>
      <c r="F936" t="s">
        <v>64</v>
      </c>
      <c r="G936">
        <v>2</v>
      </c>
      <c r="H936">
        <v>500</v>
      </c>
      <c r="I936">
        <v>0.05</v>
      </c>
      <c r="J936" t="str">
        <f>_xlfn.XLOOKUP(tblOrders[[#This Row],[ProductID]],Products!$A$2:$A$9,Products!$B$2:$B$9,"Unknown")</f>
        <v>Mouse</v>
      </c>
      <c r="K936" t="str">
        <f>_xlfn.XLOOKUP(tblOrders[[#This Row],[ProductID]],Products!$A$2:$A$9,Products!$C$2:$C$9,"Unknown")</f>
        <v>Accessories</v>
      </c>
      <c r="L936">
        <f>_xlfn.XLOOKUP(tblOrders[[#This Row],[ProductID]],Products!$A$2:$A$9,Products!$D$2:$D$9,0)</f>
        <v>320</v>
      </c>
      <c r="M936">
        <f>tblOrders[[#This Row],[Quantity]]*tblOrders[[#This Row],[UnitPrice]]*(1-tblOrders[[#This Row],[Discount]])</f>
        <v>950</v>
      </c>
      <c r="N936">
        <f>tblOrders[[#This Row],[Quantity]]*tblOrders[[#This Row],[UnitCost]]</f>
        <v>640</v>
      </c>
      <c r="O936">
        <f>tblOrders[[#This Row],[Revenue]]-tblOrders[[#This Row],[Cost]]</f>
        <v>310</v>
      </c>
      <c r="P936" t="str">
        <f>TEXT(tblOrders[[#This Row],[OrderDate]],"mmm")</f>
        <v>Aug</v>
      </c>
    </row>
    <row r="937" spans="1:16" x14ac:dyDescent="0.25">
      <c r="A937" t="s">
        <v>353</v>
      </c>
      <c r="B937" s="2">
        <v>45916</v>
      </c>
      <c r="C937" t="s">
        <v>238</v>
      </c>
      <c r="D937" t="s">
        <v>21</v>
      </c>
      <c r="E937" t="s">
        <v>28</v>
      </c>
      <c r="F937" t="s">
        <v>23</v>
      </c>
      <c r="G937">
        <v>9</v>
      </c>
      <c r="H937">
        <v>900</v>
      </c>
      <c r="I937">
        <v>0</v>
      </c>
      <c r="J937" t="str">
        <f>_xlfn.XLOOKUP(tblOrders[[#This Row],[ProductID]],Products!$A$2:$A$9,Products!$B$2:$B$9,"Unknown")</f>
        <v>Keyboard</v>
      </c>
      <c r="K937" t="str">
        <f>_xlfn.XLOOKUP(tblOrders[[#This Row],[ProductID]],Products!$A$2:$A$9,Products!$C$2:$C$9,"Unknown")</f>
        <v>Accessories</v>
      </c>
      <c r="L937">
        <f>_xlfn.XLOOKUP(tblOrders[[#This Row],[ProductID]],Products!$A$2:$A$9,Products!$D$2:$D$9,0)</f>
        <v>600</v>
      </c>
      <c r="M937">
        <f>tblOrders[[#This Row],[Quantity]]*tblOrders[[#This Row],[UnitPrice]]*(1-tblOrders[[#This Row],[Discount]])</f>
        <v>8100</v>
      </c>
      <c r="N937">
        <f>tblOrders[[#This Row],[Quantity]]*tblOrders[[#This Row],[UnitCost]]</f>
        <v>5400</v>
      </c>
      <c r="O937">
        <f>tblOrders[[#This Row],[Revenue]]-tblOrders[[#This Row],[Cost]]</f>
        <v>2700</v>
      </c>
      <c r="P937" t="str">
        <f>TEXT(tblOrders[[#This Row],[OrderDate]],"mmm")</f>
        <v>Sep</v>
      </c>
    </row>
    <row r="938" spans="1:16" x14ac:dyDescent="0.25">
      <c r="A938" t="s">
        <v>765</v>
      </c>
      <c r="B938" s="2">
        <v>46004</v>
      </c>
      <c r="C938" t="s">
        <v>195</v>
      </c>
      <c r="D938" t="s">
        <v>11</v>
      </c>
      <c r="E938" t="s">
        <v>12</v>
      </c>
      <c r="F938" t="s">
        <v>64</v>
      </c>
      <c r="G938">
        <v>12</v>
      </c>
      <c r="H938">
        <v>500</v>
      </c>
      <c r="I938">
        <v>0.1</v>
      </c>
      <c r="J938" t="str">
        <f>_xlfn.XLOOKUP(tblOrders[[#This Row],[ProductID]],Products!$A$2:$A$9,Products!$B$2:$B$9,"Unknown")</f>
        <v>Mouse</v>
      </c>
      <c r="K938" t="str">
        <f>_xlfn.XLOOKUP(tblOrders[[#This Row],[ProductID]],Products!$A$2:$A$9,Products!$C$2:$C$9,"Unknown")</f>
        <v>Accessories</v>
      </c>
      <c r="L938">
        <f>_xlfn.XLOOKUP(tblOrders[[#This Row],[ProductID]],Products!$A$2:$A$9,Products!$D$2:$D$9,0)</f>
        <v>320</v>
      </c>
      <c r="M938">
        <f>tblOrders[[#This Row],[Quantity]]*tblOrders[[#This Row],[UnitPrice]]*(1-tblOrders[[#This Row],[Discount]])</f>
        <v>5400</v>
      </c>
      <c r="N938">
        <f>tblOrders[[#This Row],[Quantity]]*tblOrders[[#This Row],[UnitCost]]</f>
        <v>3840</v>
      </c>
      <c r="O938">
        <f>tblOrders[[#This Row],[Revenue]]-tblOrders[[#This Row],[Cost]]</f>
        <v>1560</v>
      </c>
      <c r="P938" t="str">
        <f>TEXT(tblOrders[[#This Row],[OrderDate]],"mmm")</f>
        <v>Dec</v>
      </c>
    </row>
    <row r="939" spans="1:16" x14ac:dyDescent="0.25">
      <c r="A939" t="s">
        <v>240</v>
      </c>
      <c r="B939" s="2">
        <v>45776</v>
      </c>
      <c r="C939" t="s">
        <v>153</v>
      </c>
      <c r="D939" t="s">
        <v>16</v>
      </c>
      <c r="E939" t="s">
        <v>33</v>
      </c>
      <c r="F939" t="s">
        <v>69</v>
      </c>
      <c r="G939">
        <v>9</v>
      </c>
      <c r="H939">
        <v>12000</v>
      </c>
      <c r="I939">
        <v>0.05</v>
      </c>
      <c r="J939" t="str">
        <f>_xlfn.XLOOKUP(tblOrders[[#This Row],[ProductID]],Products!$A$2:$A$9,Products!$B$2:$B$9,"Unknown")</f>
        <v>Monitor</v>
      </c>
      <c r="K939" t="str">
        <f>_xlfn.XLOOKUP(tblOrders[[#This Row],[ProductID]],Products!$A$2:$A$9,Products!$C$2:$C$9,"Unknown")</f>
        <v>Electronics</v>
      </c>
      <c r="L939">
        <f>_xlfn.XLOOKUP(tblOrders[[#This Row],[ProductID]],Products!$A$2:$A$9,Products!$D$2:$D$9,0)</f>
        <v>9000</v>
      </c>
      <c r="M939">
        <f>tblOrders[[#This Row],[Quantity]]*tblOrders[[#This Row],[UnitPrice]]*(1-tblOrders[[#This Row],[Discount]])</f>
        <v>102600</v>
      </c>
      <c r="N939">
        <f>tblOrders[[#This Row],[Quantity]]*tblOrders[[#This Row],[UnitCost]]</f>
        <v>81000</v>
      </c>
      <c r="O939">
        <f>tblOrders[[#This Row],[Revenue]]-tblOrders[[#This Row],[Cost]]</f>
        <v>21600</v>
      </c>
      <c r="P939" t="str">
        <f>TEXT(tblOrders[[#This Row],[OrderDate]],"mmm")</f>
        <v>Apr</v>
      </c>
    </row>
    <row r="940" spans="1:16" x14ac:dyDescent="0.25">
      <c r="A940" t="s">
        <v>792</v>
      </c>
      <c r="B940" s="2">
        <v>45989</v>
      </c>
      <c r="C940" t="s">
        <v>138</v>
      </c>
      <c r="D940" t="s">
        <v>21</v>
      </c>
      <c r="E940" t="s">
        <v>22</v>
      </c>
      <c r="F940" t="s">
        <v>13</v>
      </c>
      <c r="G940">
        <v>9</v>
      </c>
      <c r="H940">
        <v>2000</v>
      </c>
      <c r="I940">
        <v>0</v>
      </c>
      <c r="J940" t="str">
        <f>_xlfn.XLOOKUP(tblOrders[[#This Row],[ProductID]],Products!$A$2:$A$9,Products!$B$2:$B$9,"Unknown")</f>
        <v>Headset</v>
      </c>
      <c r="K940" t="str">
        <f>_xlfn.XLOOKUP(tblOrders[[#This Row],[ProductID]],Products!$A$2:$A$9,Products!$C$2:$C$9,"Unknown")</f>
        <v>Accessories</v>
      </c>
      <c r="L940">
        <f>_xlfn.XLOOKUP(tblOrders[[#This Row],[ProductID]],Products!$A$2:$A$9,Products!$D$2:$D$9,0)</f>
        <v>1300</v>
      </c>
      <c r="M940">
        <f>tblOrders[[#This Row],[Quantity]]*tblOrders[[#This Row],[UnitPrice]]*(1-tblOrders[[#This Row],[Discount]])</f>
        <v>18000</v>
      </c>
      <c r="N940">
        <f>tblOrders[[#This Row],[Quantity]]*tblOrders[[#This Row],[UnitCost]]</f>
        <v>11700</v>
      </c>
      <c r="O940">
        <f>tblOrders[[#This Row],[Revenue]]-tblOrders[[#This Row],[Cost]]</f>
        <v>6300</v>
      </c>
      <c r="P940" t="str">
        <f>TEXT(tblOrders[[#This Row],[OrderDate]],"mmm")</f>
        <v>Nov</v>
      </c>
    </row>
    <row r="941" spans="1:16" x14ac:dyDescent="0.25">
      <c r="A941" t="s">
        <v>839</v>
      </c>
      <c r="B941" s="2">
        <v>45941</v>
      </c>
      <c r="C941" t="s">
        <v>42</v>
      </c>
      <c r="D941" t="s">
        <v>11</v>
      </c>
      <c r="E941" t="s">
        <v>46</v>
      </c>
      <c r="F941" t="s">
        <v>18</v>
      </c>
      <c r="G941">
        <v>2</v>
      </c>
      <c r="H941">
        <v>18000</v>
      </c>
      <c r="I941">
        <v>0</v>
      </c>
      <c r="J941" t="str">
        <f>_xlfn.XLOOKUP(tblOrders[[#This Row],[ProductID]],Products!$A$2:$A$9,Products!$B$2:$B$9,"Unknown")</f>
        <v>Tablet</v>
      </c>
      <c r="K941" t="str">
        <f>_xlfn.XLOOKUP(tblOrders[[#This Row],[ProductID]],Products!$A$2:$A$9,Products!$C$2:$C$9,"Unknown")</f>
        <v>Electronics</v>
      </c>
      <c r="L941">
        <f>_xlfn.XLOOKUP(tblOrders[[#This Row],[ProductID]],Products!$A$2:$A$9,Products!$D$2:$D$9,0)</f>
        <v>13500</v>
      </c>
      <c r="M941">
        <f>tblOrders[[#This Row],[Quantity]]*tblOrders[[#This Row],[UnitPrice]]*(1-tblOrders[[#This Row],[Discount]])</f>
        <v>36000</v>
      </c>
      <c r="N941">
        <f>tblOrders[[#This Row],[Quantity]]*tblOrders[[#This Row],[UnitCost]]</f>
        <v>27000</v>
      </c>
      <c r="O941">
        <f>tblOrders[[#This Row],[Revenue]]-tblOrders[[#This Row],[Cost]]</f>
        <v>9000</v>
      </c>
      <c r="P941" t="str">
        <f>TEXT(tblOrders[[#This Row],[OrderDate]],"mmm")</f>
        <v>Oct</v>
      </c>
    </row>
    <row r="942" spans="1:16" x14ac:dyDescent="0.25">
      <c r="A942" t="s">
        <v>265</v>
      </c>
      <c r="B942" s="2">
        <v>45808</v>
      </c>
      <c r="C942" t="s">
        <v>113</v>
      </c>
      <c r="D942" t="s">
        <v>16</v>
      </c>
      <c r="E942" t="s">
        <v>33</v>
      </c>
      <c r="F942" t="s">
        <v>13</v>
      </c>
      <c r="G942">
        <v>2</v>
      </c>
      <c r="H942">
        <v>2000</v>
      </c>
      <c r="I942">
        <v>0.05</v>
      </c>
      <c r="J942" t="str">
        <f>_xlfn.XLOOKUP(tblOrders[[#This Row],[ProductID]],Products!$A$2:$A$9,Products!$B$2:$B$9,"Unknown")</f>
        <v>Headset</v>
      </c>
      <c r="K942" t="str">
        <f>_xlfn.XLOOKUP(tblOrders[[#This Row],[ProductID]],Products!$A$2:$A$9,Products!$C$2:$C$9,"Unknown")</f>
        <v>Accessories</v>
      </c>
      <c r="L942">
        <f>_xlfn.XLOOKUP(tblOrders[[#This Row],[ProductID]],Products!$A$2:$A$9,Products!$D$2:$D$9,0)</f>
        <v>1300</v>
      </c>
      <c r="M942">
        <f>tblOrders[[#This Row],[Quantity]]*tblOrders[[#This Row],[UnitPrice]]*(1-tblOrders[[#This Row],[Discount]])</f>
        <v>3800</v>
      </c>
      <c r="N942">
        <f>tblOrders[[#This Row],[Quantity]]*tblOrders[[#This Row],[UnitCost]]</f>
        <v>2600</v>
      </c>
      <c r="O942">
        <f>tblOrders[[#This Row],[Revenue]]-tblOrders[[#This Row],[Cost]]</f>
        <v>1200</v>
      </c>
      <c r="P942" t="str">
        <f>TEXT(tblOrders[[#This Row],[OrderDate]],"mmm")</f>
        <v>May</v>
      </c>
    </row>
    <row r="943" spans="1:16" x14ac:dyDescent="0.25">
      <c r="A943" t="s">
        <v>673</v>
      </c>
      <c r="B943" s="2">
        <v>45980</v>
      </c>
      <c r="C943" t="s">
        <v>333</v>
      </c>
      <c r="D943" t="s">
        <v>16</v>
      </c>
      <c r="E943" t="s">
        <v>33</v>
      </c>
      <c r="F943" t="s">
        <v>18</v>
      </c>
      <c r="G943">
        <v>6</v>
      </c>
      <c r="H943">
        <v>18000</v>
      </c>
      <c r="I943">
        <v>0</v>
      </c>
      <c r="J943" t="str">
        <f>_xlfn.XLOOKUP(tblOrders[[#This Row],[ProductID]],Products!$A$2:$A$9,Products!$B$2:$B$9,"Unknown")</f>
        <v>Tablet</v>
      </c>
      <c r="K943" t="str">
        <f>_xlfn.XLOOKUP(tblOrders[[#This Row],[ProductID]],Products!$A$2:$A$9,Products!$C$2:$C$9,"Unknown")</f>
        <v>Electronics</v>
      </c>
      <c r="L943">
        <f>_xlfn.XLOOKUP(tblOrders[[#This Row],[ProductID]],Products!$A$2:$A$9,Products!$D$2:$D$9,0)</f>
        <v>13500</v>
      </c>
      <c r="M943">
        <f>tblOrders[[#This Row],[Quantity]]*tblOrders[[#This Row],[UnitPrice]]*(1-tblOrders[[#This Row],[Discount]])</f>
        <v>108000</v>
      </c>
      <c r="N943">
        <f>tblOrders[[#This Row],[Quantity]]*tblOrders[[#This Row],[UnitCost]]</f>
        <v>81000</v>
      </c>
      <c r="O943">
        <f>tblOrders[[#This Row],[Revenue]]-tblOrders[[#This Row],[Cost]]</f>
        <v>27000</v>
      </c>
      <c r="P943" t="str">
        <f>TEXT(tblOrders[[#This Row],[OrderDate]],"mmm")</f>
        <v>Nov</v>
      </c>
    </row>
    <row r="944" spans="1:16" x14ac:dyDescent="0.25">
      <c r="A944" t="s">
        <v>194</v>
      </c>
      <c r="B944" s="2">
        <v>45980</v>
      </c>
      <c r="C944" t="s">
        <v>195</v>
      </c>
      <c r="D944" t="s">
        <v>16</v>
      </c>
      <c r="E944" t="s">
        <v>17</v>
      </c>
      <c r="F944" t="s">
        <v>34</v>
      </c>
      <c r="G944">
        <v>2</v>
      </c>
      <c r="H944">
        <v>55000</v>
      </c>
      <c r="I944">
        <v>0</v>
      </c>
      <c r="J944" t="str">
        <f>_xlfn.XLOOKUP(tblOrders[[#This Row],[ProductID]],Products!$A$2:$A$9,Products!$B$2:$B$9,"Unknown")</f>
        <v>Laptop</v>
      </c>
      <c r="K944" t="str">
        <f>_xlfn.XLOOKUP(tblOrders[[#This Row],[ProductID]],Products!$A$2:$A$9,Products!$C$2:$C$9,"Unknown")</f>
        <v>Electronics</v>
      </c>
      <c r="L944">
        <f>_xlfn.XLOOKUP(tblOrders[[#This Row],[ProductID]],Products!$A$2:$A$9,Products!$D$2:$D$9,0)</f>
        <v>41000</v>
      </c>
      <c r="M944">
        <f>tblOrders[[#This Row],[Quantity]]*tblOrders[[#This Row],[UnitPrice]]*(1-tblOrders[[#This Row],[Discount]])</f>
        <v>110000</v>
      </c>
      <c r="N944">
        <f>tblOrders[[#This Row],[Quantity]]*tblOrders[[#This Row],[UnitCost]]</f>
        <v>82000</v>
      </c>
      <c r="O944">
        <f>tblOrders[[#This Row],[Revenue]]-tblOrders[[#This Row],[Cost]]</f>
        <v>28000</v>
      </c>
      <c r="P944" t="str">
        <f>TEXT(tblOrders[[#This Row],[OrderDate]],"mmm")</f>
        <v>Nov</v>
      </c>
    </row>
    <row r="945" spans="1:16" x14ac:dyDescent="0.25">
      <c r="A945" t="s">
        <v>524</v>
      </c>
      <c r="B945" s="2">
        <v>45742</v>
      </c>
      <c r="C945" t="s">
        <v>52</v>
      </c>
      <c r="D945" t="s">
        <v>16</v>
      </c>
      <c r="E945" t="s">
        <v>17</v>
      </c>
      <c r="F945" t="s">
        <v>69</v>
      </c>
      <c r="G945">
        <v>15</v>
      </c>
      <c r="H945">
        <v>12000</v>
      </c>
      <c r="I945">
        <v>0.05</v>
      </c>
      <c r="J945" t="str">
        <f>_xlfn.XLOOKUP(tblOrders[[#This Row],[ProductID]],Products!$A$2:$A$9,Products!$B$2:$B$9,"Unknown")</f>
        <v>Monitor</v>
      </c>
      <c r="K945" t="str">
        <f>_xlfn.XLOOKUP(tblOrders[[#This Row],[ProductID]],Products!$A$2:$A$9,Products!$C$2:$C$9,"Unknown")</f>
        <v>Electronics</v>
      </c>
      <c r="L945">
        <f>_xlfn.XLOOKUP(tblOrders[[#This Row],[ProductID]],Products!$A$2:$A$9,Products!$D$2:$D$9,0)</f>
        <v>9000</v>
      </c>
      <c r="M945">
        <f>tblOrders[[#This Row],[Quantity]]*tblOrders[[#This Row],[UnitPrice]]*(1-tblOrders[[#This Row],[Discount]])</f>
        <v>171000</v>
      </c>
      <c r="N945">
        <f>tblOrders[[#This Row],[Quantity]]*tblOrders[[#This Row],[UnitCost]]</f>
        <v>135000</v>
      </c>
      <c r="O945">
        <f>tblOrders[[#This Row],[Revenue]]-tblOrders[[#This Row],[Cost]]</f>
        <v>36000</v>
      </c>
      <c r="P945" t="str">
        <f>TEXT(tblOrders[[#This Row],[OrderDate]],"mmm")</f>
        <v>Mar</v>
      </c>
    </row>
    <row r="946" spans="1:16" x14ac:dyDescent="0.25">
      <c r="A946" t="s">
        <v>187</v>
      </c>
      <c r="B946" s="2">
        <v>45839</v>
      </c>
      <c r="C946" t="s">
        <v>162</v>
      </c>
      <c r="D946" t="s">
        <v>11</v>
      </c>
      <c r="E946" t="s">
        <v>12</v>
      </c>
      <c r="F946" t="s">
        <v>23</v>
      </c>
      <c r="G946">
        <v>4</v>
      </c>
      <c r="H946">
        <v>900</v>
      </c>
      <c r="I946">
        <v>0.15</v>
      </c>
      <c r="J946" t="str">
        <f>_xlfn.XLOOKUP(tblOrders[[#This Row],[ProductID]],Products!$A$2:$A$9,Products!$B$2:$B$9,"Unknown")</f>
        <v>Keyboard</v>
      </c>
      <c r="K946" t="str">
        <f>_xlfn.XLOOKUP(tblOrders[[#This Row],[ProductID]],Products!$A$2:$A$9,Products!$C$2:$C$9,"Unknown")</f>
        <v>Accessories</v>
      </c>
      <c r="L946">
        <f>_xlfn.XLOOKUP(tblOrders[[#This Row],[ProductID]],Products!$A$2:$A$9,Products!$D$2:$D$9,0)</f>
        <v>600</v>
      </c>
      <c r="M946">
        <f>tblOrders[[#This Row],[Quantity]]*tblOrders[[#This Row],[UnitPrice]]*(1-tblOrders[[#This Row],[Discount]])</f>
        <v>3060</v>
      </c>
      <c r="N946">
        <f>tblOrders[[#This Row],[Quantity]]*tblOrders[[#This Row],[UnitCost]]</f>
        <v>2400</v>
      </c>
      <c r="O946">
        <f>tblOrders[[#This Row],[Revenue]]-tblOrders[[#This Row],[Cost]]</f>
        <v>660</v>
      </c>
      <c r="P946" t="str">
        <f>TEXT(tblOrders[[#This Row],[OrderDate]],"mmm")</f>
        <v>Jul</v>
      </c>
    </row>
    <row r="947" spans="1:16" x14ac:dyDescent="0.25">
      <c r="A947" t="s">
        <v>243</v>
      </c>
      <c r="B947" s="2">
        <v>45672</v>
      </c>
      <c r="C947" t="s">
        <v>25</v>
      </c>
      <c r="D947" t="s">
        <v>16</v>
      </c>
      <c r="E947" t="s">
        <v>17</v>
      </c>
      <c r="F947" t="s">
        <v>34</v>
      </c>
      <c r="G947">
        <v>9</v>
      </c>
      <c r="H947">
        <v>55000</v>
      </c>
      <c r="I947">
        <v>0.05</v>
      </c>
      <c r="J947" t="str">
        <f>_xlfn.XLOOKUP(tblOrders[[#This Row],[ProductID]],Products!$A$2:$A$9,Products!$B$2:$B$9,"Unknown")</f>
        <v>Laptop</v>
      </c>
      <c r="K947" t="str">
        <f>_xlfn.XLOOKUP(tblOrders[[#This Row],[ProductID]],Products!$A$2:$A$9,Products!$C$2:$C$9,"Unknown")</f>
        <v>Electronics</v>
      </c>
      <c r="L947">
        <f>_xlfn.XLOOKUP(tblOrders[[#This Row],[ProductID]],Products!$A$2:$A$9,Products!$D$2:$D$9,0)</f>
        <v>41000</v>
      </c>
      <c r="M947">
        <f>tblOrders[[#This Row],[Quantity]]*tblOrders[[#This Row],[UnitPrice]]*(1-tblOrders[[#This Row],[Discount]])</f>
        <v>470250</v>
      </c>
      <c r="N947">
        <f>tblOrders[[#This Row],[Quantity]]*tblOrders[[#This Row],[UnitCost]]</f>
        <v>369000</v>
      </c>
      <c r="O947">
        <f>tblOrders[[#This Row],[Revenue]]-tblOrders[[#This Row],[Cost]]</f>
        <v>101250</v>
      </c>
      <c r="P947" t="str">
        <f>TEXT(tblOrders[[#This Row],[OrderDate]],"mmm")</f>
        <v>Jan</v>
      </c>
    </row>
    <row r="948" spans="1:16" x14ac:dyDescent="0.25">
      <c r="A948" t="s">
        <v>137</v>
      </c>
      <c r="B948" s="2">
        <v>45905</v>
      </c>
      <c r="C948" t="s">
        <v>138</v>
      </c>
      <c r="D948" t="s">
        <v>16</v>
      </c>
      <c r="E948" t="s">
        <v>33</v>
      </c>
      <c r="F948" t="s">
        <v>13</v>
      </c>
      <c r="G948">
        <v>5</v>
      </c>
      <c r="H948">
        <v>2000</v>
      </c>
      <c r="I948">
        <v>0</v>
      </c>
      <c r="J948" t="str">
        <f>_xlfn.XLOOKUP(tblOrders[[#This Row],[ProductID]],Products!$A$2:$A$9,Products!$B$2:$B$9,"Unknown")</f>
        <v>Headset</v>
      </c>
      <c r="K948" t="str">
        <f>_xlfn.XLOOKUP(tblOrders[[#This Row],[ProductID]],Products!$A$2:$A$9,Products!$C$2:$C$9,"Unknown")</f>
        <v>Accessories</v>
      </c>
      <c r="L948">
        <f>_xlfn.XLOOKUP(tblOrders[[#This Row],[ProductID]],Products!$A$2:$A$9,Products!$D$2:$D$9,0)</f>
        <v>1300</v>
      </c>
      <c r="M948">
        <f>tblOrders[[#This Row],[Quantity]]*tblOrders[[#This Row],[UnitPrice]]*(1-tblOrders[[#This Row],[Discount]])</f>
        <v>10000</v>
      </c>
      <c r="N948">
        <f>tblOrders[[#This Row],[Quantity]]*tblOrders[[#This Row],[UnitCost]]</f>
        <v>6500</v>
      </c>
      <c r="O948">
        <f>tblOrders[[#This Row],[Revenue]]-tblOrders[[#This Row],[Cost]]</f>
        <v>3500</v>
      </c>
      <c r="P948" t="str">
        <f>TEXT(tblOrders[[#This Row],[OrderDate]],"mmm")</f>
        <v>Sep</v>
      </c>
    </row>
    <row r="949" spans="1:16" x14ac:dyDescent="0.25">
      <c r="A949" t="s">
        <v>319</v>
      </c>
      <c r="B949" s="2">
        <v>45774</v>
      </c>
      <c r="C949" t="s">
        <v>30</v>
      </c>
      <c r="D949" t="s">
        <v>16</v>
      </c>
      <c r="E949" t="s">
        <v>33</v>
      </c>
      <c r="F949" t="s">
        <v>18</v>
      </c>
      <c r="G949">
        <v>8</v>
      </c>
      <c r="H949">
        <v>18000</v>
      </c>
      <c r="I949">
        <v>0</v>
      </c>
      <c r="J949" t="str">
        <f>_xlfn.XLOOKUP(tblOrders[[#This Row],[ProductID]],Products!$A$2:$A$9,Products!$B$2:$B$9,"Unknown")</f>
        <v>Tablet</v>
      </c>
      <c r="K949" t="str">
        <f>_xlfn.XLOOKUP(tblOrders[[#This Row],[ProductID]],Products!$A$2:$A$9,Products!$C$2:$C$9,"Unknown")</f>
        <v>Electronics</v>
      </c>
      <c r="L949">
        <f>_xlfn.XLOOKUP(tblOrders[[#This Row],[ProductID]],Products!$A$2:$A$9,Products!$D$2:$D$9,0)</f>
        <v>13500</v>
      </c>
      <c r="M949">
        <f>tblOrders[[#This Row],[Quantity]]*tblOrders[[#This Row],[UnitPrice]]*(1-tblOrders[[#This Row],[Discount]])</f>
        <v>144000</v>
      </c>
      <c r="N949">
        <f>tblOrders[[#This Row],[Quantity]]*tblOrders[[#This Row],[UnitCost]]</f>
        <v>108000</v>
      </c>
      <c r="O949">
        <f>tblOrders[[#This Row],[Revenue]]-tblOrders[[#This Row],[Cost]]</f>
        <v>36000</v>
      </c>
      <c r="P949" t="str">
        <f>TEXT(tblOrders[[#This Row],[OrderDate]],"mmm")</f>
        <v>Apr</v>
      </c>
    </row>
    <row r="950" spans="1:16" x14ac:dyDescent="0.25">
      <c r="A950" t="s">
        <v>878</v>
      </c>
      <c r="B950" s="2">
        <v>45964</v>
      </c>
      <c r="C950" t="s">
        <v>10</v>
      </c>
      <c r="D950" t="s">
        <v>11</v>
      </c>
      <c r="E950" t="s">
        <v>12</v>
      </c>
      <c r="F950" t="s">
        <v>13</v>
      </c>
      <c r="G950">
        <v>4</v>
      </c>
      <c r="H950">
        <v>2000</v>
      </c>
      <c r="I950">
        <v>0.1</v>
      </c>
      <c r="J950" t="str">
        <f>_xlfn.XLOOKUP(tblOrders[[#This Row],[ProductID]],Products!$A$2:$A$9,Products!$B$2:$B$9,"Unknown")</f>
        <v>Headset</v>
      </c>
      <c r="K950" t="str">
        <f>_xlfn.XLOOKUP(tblOrders[[#This Row],[ProductID]],Products!$A$2:$A$9,Products!$C$2:$C$9,"Unknown")</f>
        <v>Accessories</v>
      </c>
      <c r="L950">
        <f>_xlfn.XLOOKUP(tblOrders[[#This Row],[ProductID]],Products!$A$2:$A$9,Products!$D$2:$D$9,0)</f>
        <v>1300</v>
      </c>
      <c r="M950">
        <f>tblOrders[[#This Row],[Quantity]]*tblOrders[[#This Row],[UnitPrice]]*(1-tblOrders[[#This Row],[Discount]])</f>
        <v>7200</v>
      </c>
      <c r="N950">
        <f>tblOrders[[#This Row],[Quantity]]*tblOrders[[#This Row],[UnitCost]]</f>
        <v>5200</v>
      </c>
      <c r="O950">
        <f>tblOrders[[#This Row],[Revenue]]-tblOrders[[#This Row],[Cost]]</f>
        <v>2000</v>
      </c>
      <c r="P950" t="str">
        <f>TEXT(tblOrders[[#This Row],[OrderDate]],"mmm")</f>
        <v>Nov</v>
      </c>
    </row>
    <row r="951" spans="1:16" x14ac:dyDescent="0.25">
      <c r="A951" t="s">
        <v>1056</v>
      </c>
      <c r="B951" s="2">
        <v>45924</v>
      </c>
      <c r="C951" t="s">
        <v>10</v>
      </c>
      <c r="D951" t="s">
        <v>21</v>
      </c>
      <c r="E951" t="s">
        <v>28</v>
      </c>
      <c r="F951" t="s">
        <v>18</v>
      </c>
      <c r="G951">
        <v>8</v>
      </c>
      <c r="H951">
        <v>18000</v>
      </c>
      <c r="I951">
        <v>0</v>
      </c>
      <c r="J951" t="str">
        <f>_xlfn.XLOOKUP(tblOrders[[#This Row],[ProductID]],Products!$A$2:$A$9,Products!$B$2:$B$9,"Unknown")</f>
        <v>Tablet</v>
      </c>
      <c r="K951" t="str">
        <f>_xlfn.XLOOKUP(tblOrders[[#This Row],[ProductID]],Products!$A$2:$A$9,Products!$C$2:$C$9,"Unknown")</f>
        <v>Electronics</v>
      </c>
      <c r="L951">
        <f>_xlfn.XLOOKUP(tblOrders[[#This Row],[ProductID]],Products!$A$2:$A$9,Products!$D$2:$D$9,0)</f>
        <v>13500</v>
      </c>
      <c r="M951">
        <f>tblOrders[[#This Row],[Quantity]]*tblOrders[[#This Row],[UnitPrice]]*(1-tblOrders[[#This Row],[Discount]])</f>
        <v>144000</v>
      </c>
      <c r="N951">
        <f>tblOrders[[#This Row],[Quantity]]*tblOrders[[#This Row],[UnitCost]]</f>
        <v>108000</v>
      </c>
      <c r="O951">
        <f>tblOrders[[#This Row],[Revenue]]-tblOrders[[#This Row],[Cost]]</f>
        <v>36000</v>
      </c>
      <c r="P951" t="str">
        <f>TEXT(tblOrders[[#This Row],[OrderDate]],"mmm")</f>
        <v>Sep</v>
      </c>
    </row>
    <row r="952" spans="1:16" x14ac:dyDescent="0.25">
      <c r="A952" t="s">
        <v>226</v>
      </c>
      <c r="B952" s="2">
        <v>45901</v>
      </c>
      <c r="C952" t="s">
        <v>61</v>
      </c>
      <c r="D952" t="s">
        <v>21</v>
      </c>
      <c r="E952" t="s">
        <v>22</v>
      </c>
      <c r="F952" t="s">
        <v>55</v>
      </c>
      <c r="G952">
        <v>9</v>
      </c>
      <c r="H952">
        <v>8000</v>
      </c>
      <c r="I952">
        <v>0</v>
      </c>
      <c r="J952" t="str">
        <f>_xlfn.XLOOKUP(tblOrders[[#This Row],[ProductID]],Products!$A$2:$A$9,Products!$B$2:$B$9,"Unknown")</f>
        <v>Printer</v>
      </c>
      <c r="K952" t="str">
        <f>_xlfn.XLOOKUP(tblOrders[[#This Row],[ProductID]],Products!$A$2:$A$9,Products!$C$2:$C$9,"Unknown")</f>
        <v>Electronics</v>
      </c>
      <c r="L952">
        <f>_xlfn.XLOOKUP(tblOrders[[#This Row],[ProductID]],Products!$A$2:$A$9,Products!$D$2:$D$9,0)</f>
        <v>6200</v>
      </c>
      <c r="M952">
        <f>tblOrders[[#This Row],[Quantity]]*tblOrders[[#This Row],[UnitPrice]]*(1-tblOrders[[#This Row],[Discount]])</f>
        <v>72000</v>
      </c>
      <c r="N952">
        <f>tblOrders[[#This Row],[Quantity]]*tblOrders[[#This Row],[UnitCost]]</f>
        <v>55800</v>
      </c>
      <c r="O952">
        <f>tblOrders[[#This Row],[Revenue]]-tblOrders[[#This Row],[Cost]]</f>
        <v>16200</v>
      </c>
      <c r="P952" t="str">
        <f>TEXT(tblOrders[[#This Row],[OrderDate]],"mmm")</f>
        <v>Sep</v>
      </c>
    </row>
    <row r="953" spans="1:16" x14ac:dyDescent="0.25">
      <c r="A953" t="s">
        <v>579</v>
      </c>
      <c r="B953" s="2">
        <v>45661</v>
      </c>
      <c r="C953" t="s">
        <v>38</v>
      </c>
      <c r="D953" t="s">
        <v>11</v>
      </c>
      <c r="E953" t="s">
        <v>12</v>
      </c>
      <c r="F953" t="s">
        <v>69</v>
      </c>
      <c r="G953">
        <v>9</v>
      </c>
      <c r="H953">
        <v>12000</v>
      </c>
      <c r="I953">
        <v>0</v>
      </c>
      <c r="J953" t="str">
        <f>_xlfn.XLOOKUP(tblOrders[[#This Row],[ProductID]],Products!$A$2:$A$9,Products!$B$2:$B$9,"Unknown")</f>
        <v>Monitor</v>
      </c>
      <c r="K953" t="str">
        <f>_xlfn.XLOOKUP(tblOrders[[#This Row],[ProductID]],Products!$A$2:$A$9,Products!$C$2:$C$9,"Unknown")</f>
        <v>Electronics</v>
      </c>
      <c r="L953">
        <f>_xlfn.XLOOKUP(tblOrders[[#This Row],[ProductID]],Products!$A$2:$A$9,Products!$D$2:$D$9,0)</f>
        <v>9000</v>
      </c>
      <c r="M953">
        <f>tblOrders[[#This Row],[Quantity]]*tblOrders[[#This Row],[UnitPrice]]*(1-tblOrders[[#This Row],[Discount]])</f>
        <v>108000</v>
      </c>
      <c r="N953">
        <f>tblOrders[[#This Row],[Quantity]]*tblOrders[[#This Row],[UnitCost]]</f>
        <v>81000</v>
      </c>
      <c r="O953">
        <f>tblOrders[[#This Row],[Revenue]]-tblOrders[[#This Row],[Cost]]</f>
        <v>27000</v>
      </c>
      <c r="P953" t="str">
        <f>TEXT(tblOrders[[#This Row],[OrderDate]],"mmm")</f>
        <v>Jan</v>
      </c>
    </row>
    <row r="954" spans="1:16" x14ac:dyDescent="0.25">
      <c r="A954" t="s">
        <v>553</v>
      </c>
      <c r="B954" s="2">
        <v>45665</v>
      </c>
      <c r="C954" t="s">
        <v>20</v>
      </c>
      <c r="D954" t="s">
        <v>11</v>
      </c>
      <c r="E954" t="s">
        <v>46</v>
      </c>
      <c r="F954" t="s">
        <v>43</v>
      </c>
      <c r="G954">
        <v>11</v>
      </c>
      <c r="H954">
        <v>1500</v>
      </c>
      <c r="I954">
        <v>0.05</v>
      </c>
      <c r="J954" t="str">
        <f>_xlfn.XLOOKUP(tblOrders[[#This Row],[ProductID]],Products!$A$2:$A$9,Products!$B$2:$B$9,"Unknown")</f>
        <v>Webcam</v>
      </c>
      <c r="K954" t="str">
        <f>_xlfn.XLOOKUP(tblOrders[[#This Row],[ProductID]],Products!$A$2:$A$9,Products!$C$2:$C$9,"Unknown")</f>
        <v>Accessories</v>
      </c>
      <c r="L954">
        <f>_xlfn.XLOOKUP(tblOrders[[#This Row],[ProductID]],Products!$A$2:$A$9,Products!$D$2:$D$9,0)</f>
        <v>980</v>
      </c>
      <c r="M954">
        <f>tblOrders[[#This Row],[Quantity]]*tblOrders[[#This Row],[UnitPrice]]*(1-tblOrders[[#This Row],[Discount]])</f>
        <v>15675</v>
      </c>
      <c r="N954">
        <f>tblOrders[[#This Row],[Quantity]]*tblOrders[[#This Row],[UnitCost]]</f>
        <v>10780</v>
      </c>
      <c r="O954">
        <f>tblOrders[[#This Row],[Revenue]]-tblOrders[[#This Row],[Cost]]</f>
        <v>4895</v>
      </c>
      <c r="P954" t="str">
        <f>TEXT(tblOrders[[#This Row],[OrderDate]],"mmm")</f>
        <v>Jan</v>
      </c>
    </row>
    <row r="955" spans="1:16" x14ac:dyDescent="0.25">
      <c r="A955" t="s">
        <v>239</v>
      </c>
      <c r="B955" s="2">
        <v>45699</v>
      </c>
      <c r="C955" t="s">
        <v>229</v>
      </c>
      <c r="D955" t="s">
        <v>16</v>
      </c>
      <c r="E955" t="s">
        <v>17</v>
      </c>
      <c r="F955" t="s">
        <v>34</v>
      </c>
      <c r="G955">
        <v>12</v>
      </c>
      <c r="H955">
        <v>55000</v>
      </c>
      <c r="I955">
        <v>0.1</v>
      </c>
      <c r="J955" t="str">
        <f>_xlfn.XLOOKUP(tblOrders[[#This Row],[ProductID]],Products!$A$2:$A$9,Products!$B$2:$B$9,"Unknown")</f>
        <v>Laptop</v>
      </c>
      <c r="K955" t="str">
        <f>_xlfn.XLOOKUP(tblOrders[[#This Row],[ProductID]],Products!$A$2:$A$9,Products!$C$2:$C$9,"Unknown")</f>
        <v>Electronics</v>
      </c>
      <c r="L955">
        <f>_xlfn.XLOOKUP(tblOrders[[#This Row],[ProductID]],Products!$A$2:$A$9,Products!$D$2:$D$9,0)</f>
        <v>41000</v>
      </c>
      <c r="M955">
        <f>tblOrders[[#This Row],[Quantity]]*tblOrders[[#This Row],[UnitPrice]]*(1-tblOrders[[#This Row],[Discount]])</f>
        <v>594000</v>
      </c>
      <c r="N955">
        <f>tblOrders[[#This Row],[Quantity]]*tblOrders[[#This Row],[UnitCost]]</f>
        <v>492000</v>
      </c>
      <c r="O955">
        <f>tblOrders[[#This Row],[Revenue]]-tblOrders[[#This Row],[Cost]]</f>
        <v>102000</v>
      </c>
      <c r="P955" t="str">
        <f>TEXT(tblOrders[[#This Row],[OrderDate]],"mmm")</f>
        <v>Feb</v>
      </c>
    </row>
    <row r="956" spans="1:16" x14ac:dyDescent="0.25">
      <c r="A956" t="s">
        <v>1019</v>
      </c>
      <c r="B956" s="2">
        <v>45874</v>
      </c>
      <c r="C956" t="s">
        <v>59</v>
      </c>
      <c r="D956" t="s">
        <v>39</v>
      </c>
      <c r="E956" t="s">
        <v>76</v>
      </c>
      <c r="F956" t="s">
        <v>34</v>
      </c>
      <c r="G956">
        <v>1</v>
      </c>
      <c r="H956">
        <v>55000</v>
      </c>
      <c r="I956">
        <v>0</v>
      </c>
      <c r="J956" t="str">
        <f>_xlfn.XLOOKUP(tblOrders[[#This Row],[ProductID]],Products!$A$2:$A$9,Products!$B$2:$B$9,"Unknown")</f>
        <v>Laptop</v>
      </c>
      <c r="K956" t="str">
        <f>_xlfn.XLOOKUP(tblOrders[[#This Row],[ProductID]],Products!$A$2:$A$9,Products!$C$2:$C$9,"Unknown")</f>
        <v>Electronics</v>
      </c>
      <c r="L956">
        <f>_xlfn.XLOOKUP(tblOrders[[#This Row],[ProductID]],Products!$A$2:$A$9,Products!$D$2:$D$9,0)</f>
        <v>41000</v>
      </c>
      <c r="M956">
        <f>tblOrders[[#This Row],[Quantity]]*tblOrders[[#This Row],[UnitPrice]]*(1-tblOrders[[#This Row],[Discount]])</f>
        <v>55000</v>
      </c>
      <c r="N956">
        <f>tblOrders[[#This Row],[Quantity]]*tblOrders[[#This Row],[UnitCost]]</f>
        <v>41000</v>
      </c>
      <c r="O956">
        <f>tblOrders[[#This Row],[Revenue]]-tblOrders[[#This Row],[Cost]]</f>
        <v>14000</v>
      </c>
      <c r="P956" t="str">
        <f>TEXT(tblOrders[[#This Row],[OrderDate]],"mmm")</f>
        <v>Aug</v>
      </c>
    </row>
    <row r="957" spans="1:16" x14ac:dyDescent="0.25">
      <c r="A957" t="s">
        <v>831</v>
      </c>
      <c r="B957" s="2">
        <v>45905</v>
      </c>
      <c r="C957" t="s">
        <v>68</v>
      </c>
      <c r="D957" t="s">
        <v>39</v>
      </c>
      <c r="E957" t="s">
        <v>40</v>
      </c>
      <c r="F957" t="s">
        <v>13</v>
      </c>
      <c r="G957">
        <v>13</v>
      </c>
      <c r="H957">
        <v>2000</v>
      </c>
      <c r="I957">
        <v>0</v>
      </c>
      <c r="J957" t="str">
        <f>_xlfn.XLOOKUP(tblOrders[[#This Row],[ProductID]],Products!$A$2:$A$9,Products!$B$2:$B$9,"Unknown")</f>
        <v>Headset</v>
      </c>
      <c r="K957" t="str">
        <f>_xlfn.XLOOKUP(tblOrders[[#This Row],[ProductID]],Products!$A$2:$A$9,Products!$C$2:$C$9,"Unknown")</f>
        <v>Accessories</v>
      </c>
      <c r="L957">
        <f>_xlfn.XLOOKUP(tblOrders[[#This Row],[ProductID]],Products!$A$2:$A$9,Products!$D$2:$D$9,0)</f>
        <v>1300</v>
      </c>
      <c r="M957">
        <f>tblOrders[[#This Row],[Quantity]]*tblOrders[[#This Row],[UnitPrice]]*(1-tblOrders[[#This Row],[Discount]])</f>
        <v>26000</v>
      </c>
      <c r="N957">
        <f>tblOrders[[#This Row],[Quantity]]*tblOrders[[#This Row],[UnitCost]]</f>
        <v>16900</v>
      </c>
      <c r="O957">
        <f>tblOrders[[#This Row],[Revenue]]-tblOrders[[#This Row],[Cost]]</f>
        <v>9100</v>
      </c>
      <c r="P957" t="str">
        <f>TEXT(tblOrders[[#This Row],[OrderDate]],"mmm")</f>
        <v>Sep</v>
      </c>
    </row>
    <row r="958" spans="1:16" x14ac:dyDescent="0.25">
      <c r="A958" t="s">
        <v>242</v>
      </c>
      <c r="B958" s="2">
        <v>45884</v>
      </c>
      <c r="C958" t="s">
        <v>38</v>
      </c>
      <c r="D958" t="s">
        <v>21</v>
      </c>
      <c r="E958" t="s">
        <v>22</v>
      </c>
      <c r="F958" t="s">
        <v>13</v>
      </c>
      <c r="G958">
        <v>2</v>
      </c>
      <c r="H958">
        <v>2000</v>
      </c>
      <c r="I958">
        <v>0</v>
      </c>
      <c r="J958" t="str">
        <f>_xlfn.XLOOKUP(tblOrders[[#This Row],[ProductID]],Products!$A$2:$A$9,Products!$B$2:$B$9,"Unknown")</f>
        <v>Headset</v>
      </c>
      <c r="K958" t="str">
        <f>_xlfn.XLOOKUP(tblOrders[[#This Row],[ProductID]],Products!$A$2:$A$9,Products!$C$2:$C$9,"Unknown")</f>
        <v>Accessories</v>
      </c>
      <c r="L958">
        <f>_xlfn.XLOOKUP(tblOrders[[#This Row],[ProductID]],Products!$A$2:$A$9,Products!$D$2:$D$9,0)</f>
        <v>1300</v>
      </c>
      <c r="M958">
        <f>tblOrders[[#This Row],[Quantity]]*tblOrders[[#This Row],[UnitPrice]]*(1-tblOrders[[#This Row],[Discount]])</f>
        <v>4000</v>
      </c>
      <c r="N958">
        <f>tblOrders[[#This Row],[Quantity]]*tblOrders[[#This Row],[UnitCost]]</f>
        <v>2600</v>
      </c>
      <c r="O958">
        <f>tblOrders[[#This Row],[Revenue]]-tblOrders[[#This Row],[Cost]]</f>
        <v>1400</v>
      </c>
      <c r="P958" t="str">
        <f>TEXT(tblOrders[[#This Row],[OrderDate]],"mmm")</f>
        <v>Aug</v>
      </c>
    </row>
    <row r="959" spans="1:16" x14ac:dyDescent="0.25">
      <c r="A959" t="s">
        <v>536</v>
      </c>
      <c r="B959" s="2">
        <v>45821</v>
      </c>
      <c r="C959" t="s">
        <v>207</v>
      </c>
      <c r="D959" t="s">
        <v>16</v>
      </c>
      <c r="E959" t="s">
        <v>17</v>
      </c>
      <c r="F959" t="s">
        <v>55</v>
      </c>
      <c r="G959">
        <v>4</v>
      </c>
      <c r="H959">
        <v>8000</v>
      </c>
      <c r="I959">
        <v>0.15</v>
      </c>
      <c r="J959" t="str">
        <f>_xlfn.XLOOKUP(tblOrders[[#This Row],[ProductID]],Products!$A$2:$A$9,Products!$B$2:$B$9,"Unknown")</f>
        <v>Printer</v>
      </c>
      <c r="K959" t="str">
        <f>_xlfn.XLOOKUP(tblOrders[[#This Row],[ProductID]],Products!$A$2:$A$9,Products!$C$2:$C$9,"Unknown")</f>
        <v>Electronics</v>
      </c>
      <c r="L959">
        <f>_xlfn.XLOOKUP(tblOrders[[#This Row],[ProductID]],Products!$A$2:$A$9,Products!$D$2:$D$9,0)</f>
        <v>6200</v>
      </c>
      <c r="M959">
        <f>tblOrders[[#This Row],[Quantity]]*tblOrders[[#This Row],[UnitPrice]]*(1-tblOrders[[#This Row],[Discount]])</f>
        <v>27200</v>
      </c>
      <c r="N959">
        <f>tblOrders[[#This Row],[Quantity]]*tblOrders[[#This Row],[UnitCost]]</f>
        <v>24800</v>
      </c>
      <c r="O959">
        <f>tblOrders[[#This Row],[Revenue]]-tblOrders[[#This Row],[Cost]]</f>
        <v>2400</v>
      </c>
      <c r="P959" t="str">
        <f>TEXT(tblOrders[[#This Row],[OrderDate]],"mmm")</f>
        <v>Jun</v>
      </c>
    </row>
    <row r="960" spans="1:16" x14ac:dyDescent="0.25">
      <c r="A960" t="s">
        <v>601</v>
      </c>
      <c r="B960" s="2">
        <v>45990</v>
      </c>
      <c r="C960" t="s">
        <v>123</v>
      </c>
      <c r="D960" t="s">
        <v>21</v>
      </c>
      <c r="E960" t="s">
        <v>28</v>
      </c>
      <c r="F960" t="s">
        <v>18</v>
      </c>
      <c r="G960">
        <v>13</v>
      </c>
      <c r="H960">
        <v>18000</v>
      </c>
      <c r="I960">
        <v>0</v>
      </c>
      <c r="J960" t="str">
        <f>_xlfn.XLOOKUP(tblOrders[[#This Row],[ProductID]],Products!$A$2:$A$9,Products!$B$2:$B$9,"Unknown")</f>
        <v>Tablet</v>
      </c>
      <c r="K960" t="str">
        <f>_xlfn.XLOOKUP(tblOrders[[#This Row],[ProductID]],Products!$A$2:$A$9,Products!$C$2:$C$9,"Unknown")</f>
        <v>Electronics</v>
      </c>
      <c r="L960">
        <f>_xlfn.XLOOKUP(tblOrders[[#This Row],[ProductID]],Products!$A$2:$A$9,Products!$D$2:$D$9,0)</f>
        <v>13500</v>
      </c>
      <c r="M960">
        <f>tblOrders[[#This Row],[Quantity]]*tblOrders[[#This Row],[UnitPrice]]*(1-tblOrders[[#This Row],[Discount]])</f>
        <v>234000</v>
      </c>
      <c r="N960">
        <f>tblOrders[[#This Row],[Quantity]]*tblOrders[[#This Row],[UnitCost]]</f>
        <v>175500</v>
      </c>
      <c r="O960">
        <f>tblOrders[[#This Row],[Revenue]]-tblOrders[[#This Row],[Cost]]</f>
        <v>58500</v>
      </c>
      <c r="P960" t="str">
        <f>TEXT(tblOrders[[#This Row],[OrderDate]],"mmm")</f>
        <v>Nov</v>
      </c>
    </row>
    <row r="961" spans="1:16" x14ac:dyDescent="0.25">
      <c r="A961" t="s">
        <v>448</v>
      </c>
      <c r="B961" s="2">
        <v>45939</v>
      </c>
      <c r="C961" t="s">
        <v>195</v>
      </c>
      <c r="D961" t="s">
        <v>39</v>
      </c>
      <c r="E961" t="s">
        <v>76</v>
      </c>
      <c r="F961" t="s">
        <v>18</v>
      </c>
      <c r="G961">
        <v>14</v>
      </c>
      <c r="H961">
        <v>18000</v>
      </c>
      <c r="I961">
        <v>0.1</v>
      </c>
      <c r="J961" t="str">
        <f>_xlfn.XLOOKUP(tblOrders[[#This Row],[ProductID]],Products!$A$2:$A$9,Products!$B$2:$B$9,"Unknown")</f>
        <v>Tablet</v>
      </c>
      <c r="K961" t="str">
        <f>_xlfn.XLOOKUP(tblOrders[[#This Row],[ProductID]],Products!$A$2:$A$9,Products!$C$2:$C$9,"Unknown")</f>
        <v>Electronics</v>
      </c>
      <c r="L961">
        <f>_xlfn.XLOOKUP(tblOrders[[#This Row],[ProductID]],Products!$A$2:$A$9,Products!$D$2:$D$9,0)</f>
        <v>13500</v>
      </c>
      <c r="M961">
        <f>tblOrders[[#This Row],[Quantity]]*tblOrders[[#This Row],[UnitPrice]]*(1-tblOrders[[#This Row],[Discount]])</f>
        <v>226800</v>
      </c>
      <c r="N961">
        <f>tblOrders[[#This Row],[Quantity]]*tblOrders[[#This Row],[UnitCost]]</f>
        <v>189000</v>
      </c>
      <c r="O961">
        <f>tblOrders[[#This Row],[Revenue]]-tblOrders[[#This Row],[Cost]]</f>
        <v>37800</v>
      </c>
      <c r="P961" t="str">
        <f>TEXT(tblOrders[[#This Row],[OrderDate]],"mmm")</f>
        <v>Oct</v>
      </c>
    </row>
    <row r="962" spans="1:16" x14ac:dyDescent="0.25">
      <c r="A962" t="s">
        <v>904</v>
      </c>
      <c r="B962" s="2">
        <v>45924</v>
      </c>
      <c r="C962" t="s">
        <v>238</v>
      </c>
      <c r="D962" t="s">
        <v>21</v>
      </c>
      <c r="E962" t="s">
        <v>22</v>
      </c>
      <c r="F962" t="s">
        <v>64</v>
      </c>
      <c r="G962">
        <v>3</v>
      </c>
      <c r="H962">
        <v>500</v>
      </c>
      <c r="I962">
        <v>0</v>
      </c>
      <c r="J962" t="str">
        <f>_xlfn.XLOOKUP(tblOrders[[#This Row],[ProductID]],Products!$A$2:$A$9,Products!$B$2:$B$9,"Unknown")</f>
        <v>Mouse</v>
      </c>
      <c r="K962" t="str">
        <f>_xlfn.XLOOKUP(tblOrders[[#This Row],[ProductID]],Products!$A$2:$A$9,Products!$C$2:$C$9,"Unknown")</f>
        <v>Accessories</v>
      </c>
      <c r="L962">
        <f>_xlfn.XLOOKUP(tblOrders[[#This Row],[ProductID]],Products!$A$2:$A$9,Products!$D$2:$D$9,0)</f>
        <v>320</v>
      </c>
      <c r="M962">
        <f>tblOrders[[#This Row],[Quantity]]*tblOrders[[#This Row],[UnitPrice]]*(1-tblOrders[[#This Row],[Discount]])</f>
        <v>1500</v>
      </c>
      <c r="N962">
        <f>tblOrders[[#This Row],[Quantity]]*tblOrders[[#This Row],[UnitCost]]</f>
        <v>960</v>
      </c>
      <c r="O962">
        <f>tblOrders[[#This Row],[Revenue]]-tblOrders[[#This Row],[Cost]]</f>
        <v>540</v>
      </c>
      <c r="P962" t="str">
        <f>TEXT(tblOrders[[#This Row],[OrderDate]],"mmm")</f>
        <v>Sep</v>
      </c>
    </row>
    <row r="963" spans="1:16" x14ac:dyDescent="0.25">
      <c r="A963" t="s">
        <v>626</v>
      </c>
      <c r="B963" s="2">
        <v>45755</v>
      </c>
      <c r="C963" t="s">
        <v>103</v>
      </c>
      <c r="D963" t="s">
        <v>11</v>
      </c>
      <c r="E963" t="s">
        <v>46</v>
      </c>
      <c r="F963" t="s">
        <v>64</v>
      </c>
      <c r="G963">
        <v>3</v>
      </c>
      <c r="H963">
        <v>500</v>
      </c>
      <c r="I963">
        <v>0.15</v>
      </c>
      <c r="J963" t="str">
        <f>_xlfn.XLOOKUP(tblOrders[[#This Row],[ProductID]],Products!$A$2:$A$9,Products!$B$2:$B$9,"Unknown")</f>
        <v>Mouse</v>
      </c>
      <c r="K963" t="str">
        <f>_xlfn.XLOOKUP(tblOrders[[#This Row],[ProductID]],Products!$A$2:$A$9,Products!$C$2:$C$9,"Unknown")</f>
        <v>Accessories</v>
      </c>
      <c r="L963">
        <f>_xlfn.XLOOKUP(tblOrders[[#This Row],[ProductID]],Products!$A$2:$A$9,Products!$D$2:$D$9,0)</f>
        <v>320</v>
      </c>
      <c r="M963">
        <f>tblOrders[[#This Row],[Quantity]]*tblOrders[[#This Row],[UnitPrice]]*(1-tblOrders[[#This Row],[Discount]])</f>
        <v>1275</v>
      </c>
      <c r="N963">
        <f>tblOrders[[#This Row],[Quantity]]*tblOrders[[#This Row],[UnitCost]]</f>
        <v>960</v>
      </c>
      <c r="O963">
        <f>tblOrders[[#This Row],[Revenue]]-tblOrders[[#This Row],[Cost]]</f>
        <v>315</v>
      </c>
      <c r="P963" t="str">
        <f>TEXT(tblOrders[[#This Row],[OrderDate]],"mmm")</f>
        <v>Apr</v>
      </c>
    </row>
    <row r="964" spans="1:16" x14ac:dyDescent="0.25">
      <c r="A964" t="s">
        <v>513</v>
      </c>
      <c r="B964" s="2">
        <v>45976</v>
      </c>
      <c r="C964" t="s">
        <v>50</v>
      </c>
      <c r="D964" t="s">
        <v>11</v>
      </c>
      <c r="E964" t="s">
        <v>12</v>
      </c>
      <c r="F964" t="s">
        <v>43</v>
      </c>
      <c r="G964">
        <v>15</v>
      </c>
      <c r="H964">
        <v>1500</v>
      </c>
      <c r="I964">
        <v>0</v>
      </c>
      <c r="J964" t="str">
        <f>_xlfn.XLOOKUP(tblOrders[[#This Row],[ProductID]],Products!$A$2:$A$9,Products!$B$2:$B$9,"Unknown")</f>
        <v>Webcam</v>
      </c>
      <c r="K964" t="str">
        <f>_xlfn.XLOOKUP(tblOrders[[#This Row],[ProductID]],Products!$A$2:$A$9,Products!$C$2:$C$9,"Unknown")</f>
        <v>Accessories</v>
      </c>
      <c r="L964">
        <f>_xlfn.XLOOKUP(tblOrders[[#This Row],[ProductID]],Products!$A$2:$A$9,Products!$D$2:$D$9,0)</f>
        <v>980</v>
      </c>
      <c r="M964">
        <f>tblOrders[[#This Row],[Quantity]]*tblOrders[[#This Row],[UnitPrice]]*(1-tblOrders[[#This Row],[Discount]])</f>
        <v>22500</v>
      </c>
      <c r="N964">
        <f>tblOrders[[#This Row],[Quantity]]*tblOrders[[#This Row],[UnitCost]]</f>
        <v>14700</v>
      </c>
      <c r="O964">
        <f>tblOrders[[#This Row],[Revenue]]-tblOrders[[#This Row],[Cost]]</f>
        <v>7800</v>
      </c>
      <c r="P964" t="str">
        <f>TEXT(tblOrders[[#This Row],[OrderDate]],"mmm")</f>
        <v>Nov</v>
      </c>
    </row>
    <row r="965" spans="1:16" x14ac:dyDescent="0.25">
      <c r="A965" t="s">
        <v>547</v>
      </c>
      <c r="B965" s="2">
        <v>45719</v>
      </c>
      <c r="C965" t="s">
        <v>59</v>
      </c>
      <c r="D965" t="s">
        <v>39</v>
      </c>
      <c r="E965" t="s">
        <v>76</v>
      </c>
      <c r="F965" t="s">
        <v>13</v>
      </c>
      <c r="G965">
        <v>15</v>
      </c>
      <c r="H965">
        <v>2000</v>
      </c>
      <c r="I965">
        <v>0</v>
      </c>
      <c r="J965" t="str">
        <f>_xlfn.XLOOKUP(tblOrders[[#This Row],[ProductID]],Products!$A$2:$A$9,Products!$B$2:$B$9,"Unknown")</f>
        <v>Headset</v>
      </c>
      <c r="K965" t="str">
        <f>_xlfn.XLOOKUP(tblOrders[[#This Row],[ProductID]],Products!$A$2:$A$9,Products!$C$2:$C$9,"Unknown")</f>
        <v>Accessories</v>
      </c>
      <c r="L965">
        <f>_xlfn.XLOOKUP(tblOrders[[#This Row],[ProductID]],Products!$A$2:$A$9,Products!$D$2:$D$9,0)</f>
        <v>1300</v>
      </c>
      <c r="M965">
        <f>tblOrders[[#This Row],[Quantity]]*tblOrders[[#This Row],[UnitPrice]]*(1-tblOrders[[#This Row],[Discount]])</f>
        <v>30000</v>
      </c>
      <c r="N965">
        <f>tblOrders[[#This Row],[Quantity]]*tblOrders[[#This Row],[UnitCost]]</f>
        <v>19500</v>
      </c>
      <c r="O965">
        <f>tblOrders[[#This Row],[Revenue]]-tblOrders[[#This Row],[Cost]]</f>
        <v>10500</v>
      </c>
      <c r="P965" t="str">
        <f>TEXT(tblOrders[[#This Row],[OrderDate]],"mmm")</f>
        <v>Mar</v>
      </c>
    </row>
    <row r="966" spans="1:16" x14ac:dyDescent="0.25">
      <c r="A966" t="s">
        <v>963</v>
      </c>
      <c r="B966" s="2">
        <v>45777</v>
      </c>
      <c r="C966" t="s">
        <v>10</v>
      </c>
      <c r="D966" t="s">
        <v>21</v>
      </c>
      <c r="E966" t="s">
        <v>22</v>
      </c>
      <c r="F966" t="s">
        <v>64</v>
      </c>
      <c r="G966">
        <v>10</v>
      </c>
      <c r="H966">
        <v>500</v>
      </c>
      <c r="I966">
        <v>0.1</v>
      </c>
      <c r="J966" t="str">
        <f>_xlfn.XLOOKUP(tblOrders[[#This Row],[ProductID]],Products!$A$2:$A$9,Products!$B$2:$B$9,"Unknown")</f>
        <v>Mouse</v>
      </c>
      <c r="K966" t="str">
        <f>_xlfn.XLOOKUP(tblOrders[[#This Row],[ProductID]],Products!$A$2:$A$9,Products!$C$2:$C$9,"Unknown")</f>
        <v>Accessories</v>
      </c>
      <c r="L966">
        <f>_xlfn.XLOOKUP(tblOrders[[#This Row],[ProductID]],Products!$A$2:$A$9,Products!$D$2:$D$9,0)</f>
        <v>320</v>
      </c>
      <c r="M966">
        <f>tblOrders[[#This Row],[Quantity]]*tblOrders[[#This Row],[UnitPrice]]*(1-tblOrders[[#This Row],[Discount]])</f>
        <v>4500</v>
      </c>
      <c r="N966">
        <f>tblOrders[[#This Row],[Quantity]]*tblOrders[[#This Row],[UnitCost]]</f>
        <v>3200</v>
      </c>
      <c r="O966">
        <f>tblOrders[[#This Row],[Revenue]]-tblOrders[[#This Row],[Cost]]</f>
        <v>1300</v>
      </c>
      <c r="P966" t="str">
        <f>TEXT(tblOrders[[#This Row],[OrderDate]],"mmm")</f>
        <v>Apr</v>
      </c>
    </row>
    <row r="967" spans="1:16" x14ac:dyDescent="0.25">
      <c r="A967" t="s">
        <v>519</v>
      </c>
      <c r="B967" s="2">
        <v>45667</v>
      </c>
      <c r="C967" t="s">
        <v>82</v>
      </c>
      <c r="D967" t="s">
        <v>16</v>
      </c>
      <c r="E967" t="s">
        <v>33</v>
      </c>
      <c r="F967" t="s">
        <v>34</v>
      </c>
      <c r="G967">
        <v>6</v>
      </c>
      <c r="H967">
        <v>55000</v>
      </c>
      <c r="I967">
        <v>0.05</v>
      </c>
      <c r="J967" t="str">
        <f>_xlfn.XLOOKUP(tblOrders[[#This Row],[ProductID]],Products!$A$2:$A$9,Products!$B$2:$B$9,"Unknown")</f>
        <v>Laptop</v>
      </c>
      <c r="K967" t="str">
        <f>_xlfn.XLOOKUP(tblOrders[[#This Row],[ProductID]],Products!$A$2:$A$9,Products!$C$2:$C$9,"Unknown")</f>
        <v>Electronics</v>
      </c>
      <c r="L967">
        <f>_xlfn.XLOOKUP(tblOrders[[#This Row],[ProductID]],Products!$A$2:$A$9,Products!$D$2:$D$9,0)</f>
        <v>41000</v>
      </c>
      <c r="M967">
        <f>tblOrders[[#This Row],[Quantity]]*tblOrders[[#This Row],[UnitPrice]]*(1-tblOrders[[#This Row],[Discount]])</f>
        <v>313500</v>
      </c>
      <c r="N967">
        <f>tblOrders[[#This Row],[Quantity]]*tblOrders[[#This Row],[UnitCost]]</f>
        <v>246000</v>
      </c>
      <c r="O967">
        <f>tblOrders[[#This Row],[Revenue]]-tblOrders[[#This Row],[Cost]]</f>
        <v>67500</v>
      </c>
      <c r="P967" t="str">
        <f>TEXT(tblOrders[[#This Row],[OrderDate]],"mmm")</f>
        <v>Jan</v>
      </c>
    </row>
    <row r="968" spans="1:16" x14ac:dyDescent="0.25">
      <c r="A968" t="s">
        <v>439</v>
      </c>
      <c r="B968" s="2">
        <v>45691</v>
      </c>
      <c r="C968" t="s">
        <v>10</v>
      </c>
      <c r="D968" t="s">
        <v>39</v>
      </c>
      <c r="E968" t="s">
        <v>76</v>
      </c>
      <c r="F968" t="s">
        <v>43</v>
      </c>
      <c r="G968">
        <v>13</v>
      </c>
      <c r="H968">
        <v>1500</v>
      </c>
      <c r="I968">
        <v>0</v>
      </c>
      <c r="J968" t="str">
        <f>_xlfn.XLOOKUP(tblOrders[[#This Row],[ProductID]],Products!$A$2:$A$9,Products!$B$2:$B$9,"Unknown")</f>
        <v>Webcam</v>
      </c>
      <c r="K968" t="str">
        <f>_xlfn.XLOOKUP(tblOrders[[#This Row],[ProductID]],Products!$A$2:$A$9,Products!$C$2:$C$9,"Unknown")</f>
        <v>Accessories</v>
      </c>
      <c r="L968">
        <f>_xlfn.XLOOKUP(tblOrders[[#This Row],[ProductID]],Products!$A$2:$A$9,Products!$D$2:$D$9,0)</f>
        <v>980</v>
      </c>
      <c r="M968">
        <f>tblOrders[[#This Row],[Quantity]]*tblOrders[[#This Row],[UnitPrice]]*(1-tblOrders[[#This Row],[Discount]])</f>
        <v>19500</v>
      </c>
      <c r="N968">
        <f>tblOrders[[#This Row],[Quantity]]*tblOrders[[#This Row],[UnitCost]]</f>
        <v>12740</v>
      </c>
      <c r="O968">
        <f>tblOrders[[#This Row],[Revenue]]-tblOrders[[#This Row],[Cost]]</f>
        <v>6760</v>
      </c>
      <c r="P968" t="str">
        <f>TEXT(tblOrders[[#This Row],[OrderDate]],"mmm")</f>
        <v>Feb</v>
      </c>
    </row>
    <row r="969" spans="1:16" x14ac:dyDescent="0.25">
      <c r="A969" t="s">
        <v>1062</v>
      </c>
      <c r="B969" s="2">
        <v>45741</v>
      </c>
      <c r="C969" t="s">
        <v>61</v>
      </c>
      <c r="D969" t="s">
        <v>21</v>
      </c>
      <c r="E969" t="s">
        <v>28</v>
      </c>
      <c r="F969" t="s">
        <v>55</v>
      </c>
      <c r="G969">
        <v>1</v>
      </c>
      <c r="H969">
        <v>8000</v>
      </c>
      <c r="I969">
        <v>0</v>
      </c>
      <c r="J969" t="str">
        <f>_xlfn.XLOOKUP(tblOrders[[#This Row],[ProductID]],Products!$A$2:$A$9,Products!$B$2:$B$9,"Unknown")</f>
        <v>Printer</v>
      </c>
      <c r="K969" t="str">
        <f>_xlfn.XLOOKUP(tblOrders[[#This Row],[ProductID]],Products!$A$2:$A$9,Products!$C$2:$C$9,"Unknown")</f>
        <v>Electronics</v>
      </c>
      <c r="L969">
        <f>_xlfn.XLOOKUP(tblOrders[[#This Row],[ProductID]],Products!$A$2:$A$9,Products!$D$2:$D$9,0)</f>
        <v>6200</v>
      </c>
      <c r="M969">
        <f>tblOrders[[#This Row],[Quantity]]*tblOrders[[#This Row],[UnitPrice]]*(1-tblOrders[[#This Row],[Discount]])</f>
        <v>8000</v>
      </c>
      <c r="N969">
        <f>tblOrders[[#This Row],[Quantity]]*tblOrders[[#This Row],[UnitCost]]</f>
        <v>6200</v>
      </c>
      <c r="O969">
        <f>tblOrders[[#This Row],[Revenue]]-tblOrders[[#This Row],[Cost]]</f>
        <v>1800</v>
      </c>
      <c r="P969" t="str">
        <f>TEXT(tblOrders[[#This Row],[OrderDate]],"mmm")</f>
        <v>Mar</v>
      </c>
    </row>
    <row r="970" spans="1:16" x14ac:dyDescent="0.25">
      <c r="A970" t="s">
        <v>908</v>
      </c>
      <c r="B970" s="2">
        <v>45669</v>
      </c>
      <c r="C970" t="s">
        <v>153</v>
      </c>
      <c r="D970" t="s">
        <v>39</v>
      </c>
      <c r="E970" t="s">
        <v>40</v>
      </c>
      <c r="F970" t="s">
        <v>13</v>
      </c>
      <c r="G970">
        <v>2</v>
      </c>
      <c r="H970">
        <v>2000</v>
      </c>
      <c r="I970">
        <v>0.05</v>
      </c>
      <c r="J970" t="str">
        <f>_xlfn.XLOOKUP(tblOrders[[#This Row],[ProductID]],Products!$A$2:$A$9,Products!$B$2:$B$9,"Unknown")</f>
        <v>Headset</v>
      </c>
      <c r="K970" t="str">
        <f>_xlfn.XLOOKUP(tblOrders[[#This Row],[ProductID]],Products!$A$2:$A$9,Products!$C$2:$C$9,"Unknown")</f>
        <v>Accessories</v>
      </c>
      <c r="L970">
        <f>_xlfn.XLOOKUP(tblOrders[[#This Row],[ProductID]],Products!$A$2:$A$9,Products!$D$2:$D$9,0)</f>
        <v>1300</v>
      </c>
      <c r="M970">
        <f>tblOrders[[#This Row],[Quantity]]*tblOrders[[#This Row],[UnitPrice]]*(1-tblOrders[[#This Row],[Discount]])</f>
        <v>3800</v>
      </c>
      <c r="N970">
        <f>tblOrders[[#This Row],[Quantity]]*tblOrders[[#This Row],[UnitCost]]</f>
        <v>2600</v>
      </c>
      <c r="O970">
        <f>tblOrders[[#This Row],[Revenue]]-tblOrders[[#This Row],[Cost]]</f>
        <v>1200</v>
      </c>
      <c r="P970" t="str">
        <f>TEXT(tblOrders[[#This Row],[OrderDate]],"mmm")</f>
        <v>Jan</v>
      </c>
    </row>
    <row r="971" spans="1:16" x14ac:dyDescent="0.25">
      <c r="A971" t="s">
        <v>752</v>
      </c>
      <c r="B971" s="2">
        <v>45771</v>
      </c>
      <c r="C971" t="s">
        <v>207</v>
      </c>
      <c r="D971" t="s">
        <v>11</v>
      </c>
      <c r="E971" t="s">
        <v>12</v>
      </c>
      <c r="F971" t="s">
        <v>64</v>
      </c>
      <c r="G971">
        <v>7</v>
      </c>
      <c r="H971">
        <v>500</v>
      </c>
      <c r="I971">
        <v>0.05</v>
      </c>
      <c r="J971" t="str">
        <f>_xlfn.XLOOKUP(tblOrders[[#This Row],[ProductID]],Products!$A$2:$A$9,Products!$B$2:$B$9,"Unknown")</f>
        <v>Mouse</v>
      </c>
      <c r="K971" t="str">
        <f>_xlfn.XLOOKUP(tblOrders[[#This Row],[ProductID]],Products!$A$2:$A$9,Products!$C$2:$C$9,"Unknown")</f>
        <v>Accessories</v>
      </c>
      <c r="L971">
        <f>_xlfn.XLOOKUP(tblOrders[[#This Row],[ProductID]],Products!$A$2:$A$9,Products!$D$2:$D$9,0)</f>
        <v>320</v>
      </c>
      <c r="M971">
        <f>tblOrders[[#This Row],[Quantity]]*tblOrders[[#This Row],[UnitPrice]]*(1-tblOrders[[#This Row],[Discount]])</f>
        <v>3325</v>
      </c>
      <c r="N971">
        <f>tblOrders[[#This Row],[Quantity]]*tblOrders[[#This Row],[UnitCost]]</f>
        <v>2240</v>
      </c>
      <c r="O971">
        <f>tblOrders[[#This Row],[Revenue]]-tblOrders[[#This Row],[Cost]]</f>
        <v>1085</v>
      </c>
      <c r="P971" t="str">
        <f>TEXT(tblOrders[[#This Row],[OrderDate]],"mmm")</f>
        <v>Apr</v>
      </c>
    </row>
    <row r="972" spans="1:16" x14ac:dyDescent="0.25">
      <c r="A972" t="s">
        <v>271</v>
      </c>
      <c r="B972" s="2">
        <v>45706</v>
      </c>
      <c r="C972" t="s">
        <v>155</v>
      </c>
      <c r="D972" t="s">
        <v>39</v>
      </c>
      <c r="E972" t="s">
        <v>76</v>
      </c>
      <c r="F972" t="s">
        <v>13</v>
      </c>
      <c r="G972">
        <v>11</v>
      </c>
      <c r="H972">
        <v>2000</v>
      </c>
      <c r="I972">
        <v>0.05</v>
      </c>
      <c r="J972" t="str">
        <f>_xlfn.XLOOKUP(tblOrders[[#This Row],[ProductID]],Products!$A$2:$A$9,Products!$B$2:$B$9,"Unknown")</f>
        <v>Headset</v>
      </c>
      <c r="K972" t="str">
        <f>_xlfn.XLOOKUP(tblOrders[[#This Row],[ProductID]],Products!$A$2:$A$9,Products!$C$2:$C$9,"Unknown")</f>
        <v>Accessories</v>
      </c>
      <c r="L972">
        <f>_xlfn.XLOOKUP(tblOrders[[#This Row],[ProductID]],Products!$A$2:$A$9,Products!$D$2:$D$9,0)</f>
        <v>1300</v>
      </c>
      <c r="M972">
        <f>tblOrders[[#This Row],[Quantity]]*tblOrders[[#This Row],[UnitPrice]]*(1-tblOrders[[#This Row],[Discount]])</f>
        <v>20900</v>
      </c>
      <c r="N972">
        <f>tblOrders[[#This Row],[Quantity]]*tblOrders[[#This Row],[UnitCost]]</f>
        <v>14300</v>
      </c>
      <c r="O972">
        <f>tblOrders[[#This Row],[Revenue]]-tblOrders[[#This Row],[Cost]]</f>
        <v>6600</v>
      </c>
      <c r="P972" t="str">
        <f>TEXT(tblOrders[[#This Row],[OrderDate]],"mmm")</f>
        <v>Feb</v>
      </c>
    </row>
    <row r="973" spans="1:16" x14ac:dyDescent="0.25">
      <c r="A973" t="s">
        <v>948</v>
      </c>
      <c r="B973" s="2">
        <v>46011</v>
      </c>
      <c r="C973" t="s">
        <v>57</v>
      </c>
      <c r="D973" t="s">
        <v>16</v>
      </c>
      <c r="E973" t="s">
        <v>17</v>
      </c>
      <c r="F973" t="s">
        <v>13</v>
      </c>
      <c r="G973">
        <v>9</v>
      </c>
      <c r="H973">
        <v>2000</v>
      </c>
      <c r="I973">
        <v>0.05</v>
      </c>
      <c r="J973" t="str">
        <f>_xlfn.XLOOKUP(tblOrders[[#This Row],[ProductID]],Products!$A$2:$A$9,Products!$B$2:$B$9,"Unknown")</f>
        <v>Headset</v>
      </c>
      <c r="K973" t="str">
        <f>_xlfn.XLOOKUP(tblOrders[[#This Row],[ProductID]],Products!$A$2:$A$9,Products!$C$2:$C$9,"Unknown")</f>
        <v>Accessories</v>
      </c>
      <c r="L973">
        <f>_xlfn.XLOOKUP(tblOrders[[#This Row],[ProductID]],Products!$A$2:$A$9,Products!$D$2:$D$9,0)</f>
        <v>1300</v>
      </c>
      <c r="M973">
        <f>tblOrders[[#This Row],[Quantity]]*tblOrders[[#This Row],[UnitPrice]]*(1-tblOrders[[#This Row],[Discount]])</f>
        <v>17100</v>
      </c>
      <c r="N973">
        <f>tblOrders[[#This Row],[Quantity]]*tblOrders[[#This Row],[UnitCost]]</f>
        <v>11700</v>
      </c>
      <c r="O973">
        <f>tblOrders[[#This Row],[Revenue]]-tblOrders[[#This Row],[Cost]]</f>
        <v>5400</v>
      </c>
      <c r="P973" t="str">
        <f>TEXT(tblOrders[[#This Row],[OrderDate]],"mmm")</f>
        <v>Dec</v>
      </c>
    </row>
    <row r="974" spans="1:16" x14ac:dyDescent="0.25">
      <c r="A974" t="s">
        <v>88</v>
      </c>
      <c r="B974" s="2">
        <v>46006</v>
      </c>
      <c r="C974" t="s">
        <v>38</v>
      </c>
      <c r="D974" t="s">
        <v>39</v>
      </c>
      <c r="E974" t="s">
        <v>76</v>
      </c>
      <c r="F974" t="s">
        <v>55</v>
      </c>
      <c r="G974">
        <v>8</v>
      </c>
      <c r="H974">
        <v>8000</v>
      </c>
      <c r="I974">
        <v>0</v>
      </c>
      <c r="J974" t="str">
        <f>_xlfn.XLOOKUP(tblOrders[[#This Row],[ProductID]],Products!$A$2:$A$9,Products!$B$2:$B$9,"Unknown")</f>
        <v>Printer</v>
      </c>
      <c r="K974" t="str">
        <f>_xlfn.XLOOKUP(tblOrders[[#This Row],[ProductID]],Products!$A$2:$A$9,Products!$C$2:$C$9,"Unknown")</f>
        <v>Electronics</v>
      </c>
      <c r="L974">
        <f>_xlfn.XLOOKUP(tblOrders[[#This Row],[ProductID]],Products!$A$2:$A$9,Products!$D$2:$D$9,0)</f>
        <v>6200</v>
      </c>
      <c r="M974">
        <f>tblOrders[[#This Row],[Quantity]]*tblOrders[[#This Row],[UnitPrice]]*(1-tblOrders[[#This Row],[Discount]])</f>
        <v>64000</v>
      </c>
      <c r="N974">
        <f>tblOrders[[#This Row],[Quantity]]*tblOrders[[#This Row],[UnitCost]]</f>
        <v>49600</v>
      </c>
      <c r="O974">
        <f>tblOrders[[#This Row],[Revenue]]-tblOrders[[#This Row],[Cost]]</f>
        <v>14400</v>
      </c>
      <c r="P974" t="str">
        <f>TEXT(tblOrders[[#This Row],[OrderDate]],"mmm")</f>
        <v>Dec</v>
      </c>
    </row>
    <row r="975" spans="1:16" x14ac:dyDescent="0.25">
      <c r="A975" t="s">
        <v>409</v>
      </c>
      <c r="B975" s="2">
        <v>45760</v>
      </c>
      <c r="C975" t="s">
        <v>73</v>
      </c>
      <c r="D975" t="s">
        <v>39</v>
      </c>
      <c r="E975" t="s">
        <v>76</v>
      </c>
      <c r="F975" t="s">
        <v>43</v>
      </c>
      <c r="G975">
        <v>8</v>
      </c>
      <c r="H975">
        <v>1500</v>
      </c>
      <c r="I975">
        <v>0.15</v>
      </c>
      <c r="J975" t="str">
        <f>_xlfn.XLOOKUP(tblOrders[[#This Row],[ProductID]],Products!$A$2:$A$9,Products!$B$2:$B$9,"Unknown")</f>
        <v>Webcam</v>
      </c>
      <c r="K975" t="str">
        <f>_xlfn.XLOOKUP(tblOrders[[#This Row],[ProductID]],Products!$A$2:$A$9,Products!$C$2:$C$9,"Unknown")</f>
        <v>Accessories</v>
      </c>
      <c r="L975">
        <f>_xlfn.XLOOKUP(tblOrders[[#This Row],[ProductID]],Products!$A$2:$A$9,Products!$D$2:$D$9,0)</f>
        <v>980</v>
      </c>
      <c r="M975">
        <f>tblOrders[[#This Row],[Quantity]]*tblOrders[[#This Row],[UnitPrice]]*(1-tblOrders[[#This Row],[Discount]])</f>
        <v>10200</v>
      </c>
      <c r="N975">
        <f>tblOrders[[#This Row],[Quantity]]*tblOrders[[#This Row],[UnitCost]]</f>
        <v>7840</v>
      </c>
      <c r="O975">
        <f>tblOrders[[#This Row],[Revenue]]-tblOrders[[#This Row],[Cost]]</f>
        <v>2360</v>
      </c>
      <c r="P975" t="str">
        <f>TEXT(tblOrders[[#This Row],[OrderDate]],"mmm")</f>
        <v>Apr</v>
      </c>
    </row>
    <row r="976" spans="1:16" x14ac:dyDescent="0.25">
      <c r="A976" t="s">
        <v>956</v>
      </c>
      <c r="B976" s="2">
        <v>45739</v>
      </c>
      <c r="C976" t="s">
        <v>97</v>
      </c>
      <c r="D976" t="s">
        <v>39</v>
      </c>
      <c r="E976" t="s">
        <v>76</v>
      </c>
      <c r="F976" t="s">
        <v>69</v>
      </c>
      <c r="G976">
        <v>14</v>
      </c>
      <c r="H976">
        <v>12000</v>
      </c>
      <c r="I976">
        <v>0.1</v>
      </c>
      <c r="J976" t="str">
        <f>_xlfn.XLOOKUP(tblOrders[[#This Row],[ProductID]],Products!$A$2:$A$9,Products!$B$2:$B$9,"Unknown")</f>
        <v>Monitor</v>
      </c>
      <c r="K976" t="str">
        <f>_xlfn.XLOOKUP(tblOrders[[#This Row],[ProductID]],Products!$A$2:$A$9,Products!$C$2:$C$9,"Unknown")</f>
        <v>Electronics</v>
      </c>
      <c r="L976">
        <f>_xlfn.XLOOKUP(tblOrders[[#This Row],[ProductID]],Products!$A$2:$A$9,Products!$D$2:$D$9,0)</f>
        <v>9000</v>
      </c>
      <c r="M976">
        <f>tblOrders[[#This Row],[Quantity]]*tblOrders[[#This Row],[UnitPrice]]*(1-tblOrders[[#This Row],[Discount]])</f>
        <v>151200</v>
      </c>
      <c r="N976">
        <f>tblOrders[[#This Row],[Quantity]]*tblOrders[[#This Row],[UnitCost]]</f>
        <v>126000</v>
      </c>
      <c r="O976">
        <f>tblOrders[[#This Row],[Revenue]]-tblOrders[[#This Row],[Cost]]</f>
        <v>25200</v>
      </c>
      <c r="P976" t="str">
        <f>TEXT(tblOrders[[#This Row],[OrderDate]],"mmm")</f>
        <v>Mar</v>
      </c>
    </row>
    <row r="977" spans="1:16" x14ac:dyDescent="0.25">
      <c r="A977" t="s">
        <v>828</v>
      </c>
      <c r="B977" s="2">
        <v>45935</v>
      </c>
      <c r="C977" t="s">
        <v>71</v>
      </c>
      <c r="D977" t="s">
        <v>11</v>
      </c>
      <c r="E977" t="s">
        <v>46</v>
      </c>
      <c r="F977" t="s">
        <v>64</v>
      </c>
      <c r="G977">
        <v>1</v>
      </c>
      <c r="H977">
        <v>500</v>
      </c>
      <c r="I977">
        <v>0</v>
      </c>
      <c r="J977" t="str">
        <f>_xlfn.XLOOKUP(tblOrders[[#This Row],[ProductID]],Products!$A$2:$A$9,Products!$B$2:$B$9,"Unknown")</f>
        <v>Mouse</v>
      </c>
      <c r="K977" t="str">
        <f>_xlfn.XLOOKUP(tblOrders[[#This Row],[ProductID]],Products!$A$2:$A$9,Products!$C$2:$C$9,"Unknown")</f>
        <v>Accessories</v>
      </c>
      <c r="L977">
        <f>_xlfn.XLOOKUP(tblOrders[[#This Row],[ProductID]],Products!$A$2:$A$9,Products!$D$2:$D$9,0)</f>
        <v>320</v>
      </c>
      <c r="M977">
        <f>tblOrders[[#This Row],[Quantity]]*tblOrders[[#This Row],[UnitPrice]]*(1-tblOrders[[#This Row],[Discount]])</f>
        <v>500</v>
      </c>
      <c r="N977">
        <f>tblOrders[[#This Row],[Quantity]]*tblOrders[[#This Row],[UnitCost]]</f>
        <v>320</v>
      </c>
      <c r="O977">
        <f>tblOrders[[#This Row],[Revenue]]-tblOrders[[#This Row],[Cost]]</f>
        <v>180</v>
      </c>
      <c r="P977" t="str">
        <f>TEXT(tblOrders[[#This Row],[OrderDate]],"mmm")</f>
        <v>Oct</v>
      </c>
    </row>
    <row r="978" spans="1:16" x14ac:dyDescent="0.25">
      <c r="A978" t="s">
        <v>256</v>
      </c>
      <c r="B978" s="2">
        <v>45791</v>
      </c>
      <c r="C978" t="s">
        <v>48</v>
      </c>
      <c r="D978" t="s">
        <v>39</v>
      </c>
      <c r="E978" t="s">
        <v>40</v>
      </c>
      <c r="F978" t="s">
        <v>23</v>
      </c>
      <c r="G978">
        <v>15</v>
      </c>
      <c r="H978">
        <v>900</v>
      </c>
      <c r="I978">
        <v>0</v>
      </c>
      <c r="J978" t="str">
        <f>_xlfn.XLOOKUP(tblOrders[[#This Row],[ProductID]],Products!$A$2:$A$9,Products!$B$2:$B$9,"Unknown")</f>
        <v>Keyboard</v>
      </c>
      <c r="K978" t="str">
        <f>_xlfn.XLOOKUP(tblOrders[[#This Row],[ProductID]],Products!$A$2:$A$9,Products!$C$2:$C$9,"Unknown")</f>
        <v>Accessories</v>
      </c>
      <c r="L978">
        <f>_xlfn.XLOOKUP(tblOrders[[#This Row],[ProductID]],Products!$A$2:$A$9,Products!$D$2:$D$9,0)</f>
        <v>600</v>
      </c>
      <c r="M978">
        <f>tblOrders[[#This Row],[Quantity]]*tblOrders[[#This Row],[UnitPrice]]*(1-tblOrders[[#This Row],[Discount]])</f>
        <v>13500</v>
      </c>
      <c r="N978">
        <f>tblOrders[[#This Row],[Quantity]]*tblOrders[[#This Row],[UnitCost]]</f>
        <v>9000</v>
      </c>
      <c r="O978">
        <f>tblOrders[[#This Row],[Revenue]]-tblOrders[[#This Row],[Cost]]</f>
        <v>4500</v>
      </c>
      <c r="P978" t="str">
        <f>TEXT(tblOrders[[#This Row],[OrderDate]],"mmm")</f>
        <v>May</v>
      </c>
    </row>
    <row r="979" spans="1:16" x14ac:dyDescent="0.25">
      <c r="A979" t="s">
        <v>392</v>
      </c>
      <c r="B979" s="2">
        <v>45915</v>
      </c>
      <c r="C979" t="s">
        <v>90</v>
      </c>
      <c r="D979" t="s">
        <v>16</v>
      </c>
      <c r="E979" t="s">
        <v>17</v>
      </c>
      <c r="F979" t="s">
        <v>69</v>
      </c>
      <c r="G979">
        <v>8</v>
      </c>
      <c r="H979">
        <v>12000</v>
      </c>
      <c r="I979">
        <v>0</v>
      </c>
      <c r="J979" t="str">
        <f>_xlfn.XLOOKUP(tblOrders[[#This Row],[ProductID]],Products!$A$2:$A$9,Products!$B$2:$B$9,"Unknown")</f>
        <v>Monitor</v>
      </c>
      <c r="K979" t="str">
        <f>_xlfn.XLOOKUP(tblOrders[[#This Row],[ProductID]],Products!$A$2:$A$9,Products!$C$2:$C$9,"Unknown")</f>
        <v>Electronics</v>
      </c>
      <c r="L979">
        <f>_xlfn.XLOOKUP(tblOrders[[#This Row],[ProductID]],Products!$A$2:$A$9,Products!$D$2:$D$9,0)</f>
        <v>9000</v>
      </c>
      <c r="M979">
        <f>tblOrders[[#This Row],[Quantity]]*tblOrders[[#This Row],[UnitPrice]]*(1-tblOrders[[#This Row],[Discount]])</f>
        <v>96000</v>
      </c>
      <c r="N979">
        <f>tblOrders[[#This Row],[Quantity]]*tblOrders[[#This Row],[UnitCost]]</f>
        <v>72000</v>
      </c>
      <c r="O979">
        <f>tblOrders[[#This Row],[Revenue]]-tblOrders[[#This Row],[Cost]]</f>
        <v>24000</v>
      </c>
      <c r="P979" t="str">
        <f>TEXT(tblOrders[[#This Row],[OrderDate]],"mmm")</f>
        <v>Sep</v>
      </c>
    </row>
    <row r="980" spans="1:16" x14ac:dyDescent="0.25">
      <c r="A980" t="s">
        <v>709</v>
      </c>
      <c r="B980" s="2">
        <v>45908</v>
      </c>
      <c r="C980" t="s">
        <v>15</v>
      </c>
      <c r="D980" t="s">
        <v>39</v>
      </c>
      <c r="E980" t="s">
        <v>76</v>
      </c>
      <c r="F980" t="s">
        <v>34</v>
      </c>
      <c r="G980">
        <v>8</v>
      </c>
      <c r="H980">
        <v>55000</v>
      </c>
      <c r="I980">
        <v>0.05</v>
      </c>
      <c r="J980" t="str">
        <f>_xlfn.XLOOKUP(tblOrders[[#This Row],[ProductID]],Products!$A$2:$A$9,Products!$B$2:$B$9,"Unknown")</f>
        <v>Laptop</v>
      </c>
      <c r="K980" t="str">
        <f>_xlfn.XLOOKUP(tblOrders[[#This Row],[ProductID]],Products!$A$2:$A$9,Products!$C$2:$C$9,"Unknown")</f>
        <v>Electronics</v>
      </c>
      <c r="L980">
        <f>_xlfn.XLOOKUP(tblOrders[[#This Row],[ProductID]],Products!$A$2:$A$9,Products!$D$2:$D$9,0)</f>
        <v>41000</v>
      </c>
      <c r="M980">
        <f>tblOrders[[#This Row],[Quantity]]*tblOrders[[#This Row],[UnitPrice]]*(1-tblOrders[[#This Row],[Discount]])</f>
        <v>418000</v>
      </c>
      <c r="N980">
        <f>tblOrders[[#This Row],[Quantity]]*tblOrders[[#This Row],[UnitCost]]</f>
        <v>328000</v>
      </c>
      <c r="O980">
        <f>tblOrders[[#This Row],[Revenue]]-tblOrders[[#This Row],[Cost]]</f>
        <v>90000</v>
      </c>
      <c r="P980" t="str">
        <f>TEXT(tblOrders[[#This Row],[OrderDate]],"mmm")</f>
        <v>Sep</v>
      </c>
    </row>
    <row r="981" spans="1:16" x14ac:dyDescent="0.25">
      <c r="A981" t="s">
        <v>600</v>
      </c>
      <c r="B981" s="2">
        <v>45930</v>
      </c>
      <c r="C981" t="s">
        <v>238</v>
      </c>
      <c r="D981" t="s">
        <v>21</v>
      </c>
      <c r="E981" t="s">
        <v>28</v>
      </c>
      <c r="F981" t="s">
        <v>69</v>
      </c>
      <c r="G981">
        <v>6</v>
      </c>
      <c r="H981">
        <v>12000</v>
      </c>
      <c r="I981">
        <v>0</v>
      </c>
      <c r="J981" t="str">
        <f>_xlfn.XLOOKUP(tblOrders[[#This Row],[ProductID]],Products!$A$2:$A$9,Products!$B$2:$B$9,"Unknown")</f>
        <v>Monitor</v>
      </c>
      <c r="K981" t="str">
        <f>_xlfn.XLOOKUP(tblOrders[[#This Row],[ProductID]],Products!$A$2:$A$9,Products!$C$2:$C$9,"Unknown")</f>
        <v>Electronics</v>
      </c>
      <c r="L981">
        <f>_xlfn.XLOOKUP(tblOrders[[#This Row],[ProductID]],Products!$A$2:$A$9,Products!$D$2:$D$9,0)</f>
        <v>9000</v>
      </c>
      <c r="M981">
        <f>tblOrders[[#This Row],[Quantity]]*tblOrders[[#This Row],[UnitPrice]]*(1-tblOrders[[#This Row],[Discount]])</f>
        <v>72000</v>
      </c>
      <c r="N981">
        <f>tblOrders[[#This Row],[Quantity]]*tblOrders[[#This Row],[UnitCost]]</f>
        <v>54000</v>
      </c>
      <c r="O981">
        <f>tblOrders[[#This Row],[Revenue]]-tblOrders[[#This Row],[Cost]]</f>
        <v>18000</v>
      </c>
      <c r="P981" t="str">
        <f>TEXT(tblOrders[[#This Row],[OrderDate]],"mmm")</f>
        <v>Sep</v>
      </c>
    </row>
    <row r="982" spans="1:16" x14ac:dyDescent="0.25">
      <c r="A982" t="s">
        <v>201</v>
      </c>
      <c r="B982" s="2">
        <v>45910</v>
      </c>
      <c r="C982" t="s">
        <v>136</v>
      </c>
      <c r="D982" t="s">
        <v>39</v>
      </c>
      <c r="E982" t="s">
        <v>40</v>
      </c>
      <c r="F982" t="s">
        <v>23</v>
      </c>
      <c r="G982">
        <v>10</v>
      </c>
      <c r="H982">
        <v>900</v>
      </c>
      <c r="I982">
        <v>0</v>
      </c>
      <c r="J982" t="str">
        <f>_xlfn.XLOOKUP(tblOrders[[#This Row],[ProductID]],Products!$A$2:$A$9,Products!$B$2:$B$9,"Unknown")</f>
        <v>Keyboard</v>
      </c>
      <c r="K982" t="str">
        <f>_xlfn.XLOOKUP(tblOrders[[#This Row],[ProductID]],Products!$A$2:$A$9,Products!$C$2:$C$9,"Unknown")</f>
        <v>Accessories</v>
      </c>
      <c r="L982">
        <f>_xlfn.XLOOKUP(tblOrders[[#This Row],[ProductID]],Products!$A$2:$A$9,Products!$D$2:$D$9,0)</f>
        <v>600</v>
      </c>
      <c r="M982">
        <f>tblOrders[[#This Row],[Quantity]]*tblOrders[[#This Row],[UnitPrice]]*(1-tblOrders[[#This Row],[Discount]])</f>
        <v>9000</v>
      </c>
      <c r="N982">
        <f>tblOrders[[#This Row],[Quantity]]*tblOrders[[#This Row],[UnitCost]]</f>
        <v>6000</v>
      </c>
      <c r="O982">
        <f>tblOrders[[#This Row],[Revenue]]-tblOrders[[#This Row],[Cost]]</f>
        <v>3000</v>
      </c>
      <c r="P982" t="str">
        <f>TEXT(tblOrders[[#This Row],[OrderDate]],"mmm")</f>
        <v>Sep</v>
      </c>
    </row>
    <row r="983" spans="1:16" x14ac:dyDescent="0.25">
      <c r="A983" t="s">
        <v>641</v>
      </c>
      <c r="B983" s="2">
        <v>45911</v>
      </c>
      <c r="C983" t="s">
        <v>68</v>
      </c>
      <c r="D983" t="s">
        <v>16</v>
      </c>
      <c r="E983" t="s">
        <v>33</v>
      </c>
      <c r="F983" t="s">
        <v>69</v>
      </c>
      <c r="G983">
        <v>8</v>
      </c>
      <c r="H983">
        <v>12000</v>
      </c>
      <c r="I983">
        <v>0.15</v>
      </c>
      <c r="J983" t="str">
        <f>_xlfn.XLOOKUP(tblOrders[[#This Row],[ProductID]],Products!$A$2:$A$9,Products!$B$2:$B$9,"Unknown")</f>
        <v>Monitor</v>
      </c>
      <c r="K983" t="str">
        <f>_xlfn.XLOOKUP(tblOrders[[#This Row],[ProductID]],Products!$A$2:$A$9,Products!$C$2:$C$9,"Unknown")</f>
        <v>Electronics</v>
      </c>
      <c r="L983">
        <f>_xlfn.XLOOKUP(tblOrders[[#This Row],[ProductID]],Products!$A$2:$A$9,Products!$D$2:$D$9,0)</f>
        <v>9000</v>
      </c>
      <c r="M983">
        <f>tblOrders[[#This Row],[Quantity]]*tblOrders[[#This Row],[UnitPrice]]*(1-tblOrders[[#This Row],[Discount]])</f>
        <v>81600</v>
      </c>
      <c r="N983">
        <f>tblOrders[[#This Row],[Quantity]]*tblOrders[[#This Row],[UnitCost]]</f>
        <v>72000</v>
      </c>
      <c r="O983">
        <f>tblOrders[[#This Row],[Revenue]]-tblOrders[[#This Row],[Cost]]</f>
        <v>9600</v>
      </c>
      <c r="P983" t="str">
        <f>TEXT(tblOrders[[#This Row],[OrderDate]],"mmm")</f>
        <v>Sep</v>
      </c>
    </row>
    <row r="984" spans="1:16" x14ac:dyDescent="0.25">
      <c r="A984" t="s">
        <v>426</v>
      </c>
      <c r="B984" s="2">
        <v>45917</v>
      </c>
      <c r="C984" t="s">
        <v>90</v>
      </c>
      <c r="D984" t="s">
        <v>11</v>
      </c>
      <c r="E984" t="s">
        <v>12</v>
      </c>
      <c r="F984" t="s">
        <v>18</v>
      </c>
      <c r="G984">
        <v>10</v>
      </c>
      <c r="H984">
        <v>18000</v>
      </c>
      <c r="I984">
        <v>0.15</v>
      </c>
      <c r="J984" t="str">
        <f>_xlfn.XLOOKUP(tblOrders[[#This Row],[ProductID]],Products!$A$2:$A$9,Products!$B$2:$B$9,"Unknown")</f>
        <v>Tablet</v>
      </c>
      <c r="K984" t="str">
        <f>_xlfn.XLOOKUP(tblOrders[[#This Row],[ProductID]],Products!$A$2:$A$9,Products!$C$2:$C$9,"Unknown")</f>
        <v>Electronics</v>
      </c>
      <c r="L984">
        <f>_xlfn.XLOOKUP(tblOrders[[#This Row],[ProductID]],Products!$A$2:$A$9,Products!$D$2:$D$9,0)</f>
        <v>13500</v>
      </c>
      <c r="M984">
        <f>tblOrders[[#This Row],[Quantity]]*tblOrders[[#This Row],[UnitPrice]]*(1-tblOrders[[#This Row],[Discount]])</f>
        <v>153000</v>
      </c>
      <c r="N984">
        <f>tblOrders[[#This Row],[Quantity]]*tblOrders[[#This Row],[UnitCost]]</f>
        <v>135000</v>
      </c>
      <c r="O984">
        <f>tblOrders[[#This Row],[Revenue]]-tblOrders[[#This Row],[Cost]]</f>
        <v>18000</v>
      </c>
      <c r="P984" t="str">
        <f>TEXT(tblOrders[[#This Row],[OrderDate]],"mmm")</f>
        <v>Sep</v>
      </c>
    </row>
    <row r="985" spans="1:16" x14ac:dyDescent="0.25">
      <c r="A985" t="s">
        <v>412</v>
      </c>
      <c r="B985" s="2">
        <v>46019</v>
      </c>
      <c r="C985" t="s">
        <v>155</v>
      </c>
      <c r="D985" t="s">
        <v>39</v>
      </c>
      <c r="E985" t="s">
        <v>40</v>
      </c>
      <c r="F985" t="s">
        <v>13</v>
      </c>
      <c r="G985">
        <v>10</v>
      </c>
      <c r="H985">
        <v>2000</v>
      </c>
      <c r="I985">
        <v>0</v>
      </c>
      <c r="J985" t="str">
        <f>_xlfn.XLOOKUP(tblOrders[[#This Row],[ProductID]],Products!$A$2:$A$9,Products!$B$2:$B$9,"Unknown")</f>
        <v>Headset</v>
      </c>
      <c r="K985" t="str">
        <f>_xlfn.XLOOKUP(tblOrders[[#This Row],[ProductID]],Products!$A$2:$A$9,Products!$C$2:$C$9,"Unknown")</f>
        <v>Accessories</v>
      </c>
      <c r="L985">
        <f>_xlfn.XLOOKUP(tblOrders[[#This Row],[ProductID]],Products!$A$2:$A$9,Products!$D$2:$D$9,0)</f>
        <v>1300</v>
      </c>
      <c r="M985">
        <f>tblOrders[[#This Row],[Quantity]]*tblOrders[[#This Row],[UnitPrice]]*(1-tblOrders[[#This Row],[Discount]])</f>
        <v>20000</v>
      </c>
      <c r="N985">
        <f>tblOrders[[#This Row],[Quantity]]*tblOrders[[#This Row],[UnitCost]]</f>
        <v>13000</v>
      </c>
      <c r="O985">
        <f>tblOrders[[#This Row],[Revenue]]-tblOrders[[#This Row],[Cost]]</f>
        <v>7000</v>
      </c>
      <c r="P985" t="str">
        <f>TEXT(tblOrders[[#This Row],[OrderDate]],"mmm")</f>
        <v>Dec</v>
      </c>
    </row>
    <row r="986" spans="1:16" x14ac:dyDescent="0.25">
      <c r="A986" t="s">
        <v>86</v>
      </c>
      <c r="B986" s="2">
        <v>45930</v>
      </c>
      <c r="C986" t="s">
        <v>27</v>
      </c>
      <c r="D986" t="s">
        <v>21</v>
      </c>
      <c r="E986" t="s">
        <v>22</v>
      </c>
      <c r="F986" t="s">
        <v>23</v>
      </c>
      <c r="G986">
        <v>8</v>
      </c>
      <c r="H986">
        <v>900</v>
      </c>
      <c r="I986">
        <v>0.05</v>
      </c>
      <c r="J986" t="str">
        <f>_xlfn.XLOOKUP(tblOrders[[#This Row],[ProductID]],Products!$A$2:$A$9,Products!$B$2:$B$9,"Unknown")</f>
        <v>Keyboard</v>
      </c>
      <c r="K986" t="str">
        <f>_xlfn.XLOOKUP(tblOrders[[#This Row],[ProductID]],Products!$A$2:$A$9,Products!$C$2:$C$9,"Unknown")</f>
        <v>Accessories</v>
      </c>
      <c r="L986">
        <f>_xlfn.XLOOKUP(tblOrders[[#This Row],[ProductID]],Products!$A$2:$A$9,Products!$D$2:$D$9,0)</f>
        <v>600</v>
      </c>
      <c r="M986">
        <f>tblOrders[[#This Row],[Quantity]]*tblOrders[[#This Row],[UnitPrice]]*(1-tblOrders[[#This Row],[Discount]])</f>
        <v>6840</v>
      </c>
      <c r="N986">
        <f>tblOrders[[#This Row],[Quantity]]*tblOrders[[#This Row],[UnitCost]]</f>
        <v>4800</v>
      </c>
      <c r="O986">
        <f>tblOrders[[#This Row],[Revenue]]-tblOrders[[#This Row],[Cost]]</f>
        <v>2040</v>
      </c>
      <c r="P986" t="str">
        <f>TEXT(tblOrders[[#This Row],[OrderDate]],"mmm")</f>
        <v>Sep</v>
      </c>
    </row>
    <row r="987" spans="1:16" x14ac:dyDescent="0.25">
      <c r="A987" t="s">
        <v>768</v>
      </c>
      <c r="B987" s="2">
        <v>45989</v>
      </c>
      <c r="C987" t="s">
        <v>36</v>
      </c>
      <c r="D987" t="s">
        <v>39</v>
      </c>
      <c r="E987" t="s">
        <v>76</v>
      </c>
      <c r="F987" t="s">
        <v>43</v>
      </c>
      <c r="G987">
        <v>1</v>
      </c>
      <c r="H987">
        <v>1500</v>
      </c>
      <c r="I987">
        <v>0</v>
      </c>
      <c r="J987" t="str">
        <f>_xlfn.XLOOKUP(tblOrders[[#This Row],[ProductID]],Products!$A$2:$A$9,Products!$B$2:$B$9,"Unknown")</f>
        <v>Webcam</v>
      </c>
      <c r="K987" t="str">
        <f>_xlfn.XLOOKUP(tblOrders[[#This Row],[ProductID]],Products!$A$2:$A$9,Products!$C$2:$C$9,"Unknown")</f>
        <v>Accessories</v>
      </c>
      <c r="L987">
        <f>_xlfn.XLOOKUP(tblOrders[[#This Row],[ProductID]],Products!$A$2:$A$9,Products!$D$2:$D$9,0)</f>
        <v>980</v>
      </c>
      <c r="M987">
        <f>tblOrders[[#This Row],[Quantity]]*tblOrders[[#This Row],[UnitPrice]]*(1-tblOrders[[#This Row],[Discount]])</f>
        <v>1500</v>
      </c>
      <c r="N987">
        <f>tblOrders[[#This Row],[Quantity]]*tblOrders[[#This Row],[UnitCost]]</f>
        <v>980</v>
      </c>
      <c r="O987">
        <f>tblOrders[[#This Row],[Revenue]]-tblOrders[[#This Row],[Cost]]</f>
        <v>520</v>
      </c>
      <c r="P987" t="str">
        <f>TEXT(tblOrders[[#This Row],[OrderDate]],"mmm")</f>
        <v>Nov</v>
      </c>
    </row>
    <row r="988" spans="1:16" x14ac:dyDescent="0.25">
      <c r="A988" t="s">
        <v>713</v>
      </c>
      <c r="B988" s="2">
        <v>45997</v>
      </c>
      <c r="C988" t="s">
        <v>105</v>
      </c>
      <c r="D988" t="s">
        <v>11</v>
      </c>
      <c r="E988" t="s">
        <v>12</v>
      </c>
      <c r="F988" t="s">
        <v>64</v>
      </c>
      <c r="G988">
        <v>2</v>
      </c>
      <c r="H988">
        <v>500</v>
      </c>
      <c r="I988">
        <v>0.05</v>
      </c>
      <c r="J988" t="str">
        <f>_xlfn.XLOOKUP(tblOrders[[#This Row],[ProductID]],Products!$A$2:$A$9,Products!$B$2:$B$9,"Unknown")</f>
        <v>Mouse</v>
      </c>
      <c r="K988" t="str">
        <f>_xlfn.XLOOKUP(tblOrders[[#This Row],[ProductID]],Products!$A$2:$A$9,Products!$C$2:$C$9,"Unknown")</f>
        <v>Accessories</v>
      </c>
      <c r="L988">
        <f>_xlfn.XLOOKUP(tblOrders[[#This Row],[ProductID]],Products!$A$2:$A$9,Products!$D$2:$D$9,0)</f>
        <v>320</v>
      </c>
      <c r="M988">
        <f>tblOrders[[#This Row],[Quantity]]*tblOrders[[#This Row],[UnitPrice]]*(1-tblOrders[[#This Row],[Discount]])</f>
        <v>950</v>
      </c>
      <c r="N988">
        <f>tblOrders[[#This Row],[Quantity]]*tblOrders[[#This Row],[UnitCost]]</f>
        <v>640</v>
      </c>
      <c r="O988">
        <f>tblOrders[[#This Row],[Revenue]]-tblOrders[[#This Row],[Cost]]</f>
        <v>310</v>
      </c>
      <c r="P988" t="str">
        <f>TEXT(tblOrders[[#This Row],[OrderDate]],"mmm")</f>
        <v>Dec</v>
      </c>
    </row>
    <row r="989" spans="1:16" x14ac:dyDescent="0.25">
      <c r="A989" t="s">
        <v>282</v>
      </c>
      <c r="B989" s="2">
        <v>45971</v>
      </c>
      <c r="C989" t="s">
        <v>130</v>
      </c>
      <c r="D989" t="s">
        <v>39</v>
      </c>
      <c r="E989" t="s">
        <v>76</v>
      </c>
      <c r="F989" t="s">
        <v>23</v>
      </c>
      <c r="G989">
        <v>15</v>
      </c>
      <c r="H989">
        <v>900</v>
      </c>
      <c r="I989">
        <v>0</v>
      </c>
      <c r="J989" t="str">
        <f>_xlfn.XLOOKUP(tblOrders[[#This Row],[ProductID]],Products!$A$2:$A$9,Products!$B$2:$B$9,"Unknown")</f>
        <v>Keyboard</v>
      </c>
      <c r="K989" t="str">
        <f>_xlfn.XLOOKUP(tblOrders[[#This Row],[ProductID]],Products!$A$2:$A$9,Products!$C$2:$C$9,"Unknown")</f>
        <v>Accessories</v>
      </c>
      <c r="L989">
        <f>_xlfn.XLOOKUP(tblOrders[[#This Row],[ProductID]],Products!$A$2:$A$9,Products!$D$2:$D$9,0)</f>
        <v>600</v>
      </c>
      <c r="M989">
        <f>tblOrders[[#This Row],[Quantity]]*tblOrders[[#This Row],[UnitPrice]]*(1-tblOrders[[#This Row],[Discount]])</f>
        <v>13500</v>
      </c>
      <c r="N989">
        <f>tblOrders[[#This Row],[Quantity]]*tblOrders[[#This Row],[UnitCost]]</f>
        <v>9000</v>
      </c>
      <c r="O989">
        <f>tblOrders[[#This Row],[Revenue]]-tblOrders[[#This Row],[Cost]]</f>
        <v>4500</v>
      </c>
      <c r="P989" t="str">
        <f>TEXT(tblOrders[[#This Row],[OrderDate]],"mmm")</f>
        <v>Nov</v>
      </c>
    </row>
    <row r="990" spans="1:16" x14ac:dyDescent="0.25">
      <c r="A990" t="s">
        <v>1114</v>
      </c>
      <c r="M990">
        <f>SUBTOTAL(109,tblOrders[Revenue])</f>
        <v>92126815</v>
      </c>
      <c r="N990">
        <f>SUBTOTAL(109,tblOrders[Cost])</f>
        <v>71505760</v>
      </c>
      <c r="O990">
        <f>SUBTOTAL(109,tblOrders[Profit])</f>
        <v>20621055</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workbookViewId="0">
      <selection activeCell="B1" sqref="B1"/>
    </sheetView>
  </sheetViews>
  <sheetFormatPr defaultRowHeight="15" x14ac:dyDescent="0.25"/>
  <cols>
    <col min="1" max="9" width="16" customWidth="1"/>
  </cols>
  <sheetData>
    <row r="1" spans="1:5" x14ac:dyDescent="0.25">
      <c r="A1" s="1" t="s">
        <v>5</v>
      </c>
      <c r="B1" s="7" t="s">
        <v>1078</v>
      </c>
      <c r="C1" s="1" t="s">
        <v>1079</v>
      </c>
      <c r="D1" s="1" t="s">
        <v>1080</v>
      </c>
    </row>
    <row r="2" spans="1:5" x14ac:dyDescent="0.25">
      <c r="A2" t="s">
        <v>34</v>
      </c>
      <c r="B2" t="s">
        <v>1081</v>
      </c>
      <c r="C2" t="s">
        <v>1082</v>
      </c>
      <c r="D2">
        <v>41000</v>
      </c>
      <c r="E2">
        <f>COUNTIF(Orders!$F$2:$F$989,Products!A2)</f>
        <v>137</v>
      </c>
    </row>
    <row r="3" spans="1:5" x14ac:dyDescent="0.25">
      <c r="A3" t="s">
        <v>18</v>
      </c>
      <c r="B3" t="s">
        <v>1083</v>
      </c>
      <c r="C3" t="s">
        <v>1082</v>
      </c>
      <c r="D3">
        <v>13500</v>
      </c>
      <c r="E3">
        <f>COUNTIF(Orders!$F$2:$F$989,Products!A3)</f>
        <v>121</v>
      </c>
    </row>
    <row r="4" spans="1:5" x14ac:dyDescent="0.25">
      <c r="A4" t="s">
        <v>69</v>
      </c>
      <c r="B4" t="s">
        <v>1084</v>
      </c>
      <c r="C4" t="s">
        <v>1082</v>
      </c>
      <c r="D4">
        <v>9000</v>
      </c>
      <c r="E4">
        <f>COUNTIF(Orders!$F$2:$F$989,Products!A4)</f>
        <v>108</v>
      </c>
    </row>
    <row r="5" spans="1:5" x14ac:dyDescent="0.25">
      <c r="A5" t="s">
        <v>55</v>
      </c>
      <c r="B5" t="s">
        <v>1085</v>
      </c>
      <c r="C5" t="s">
        <v>1082</v>
      </c>
      <c r="D5">
        <v>6200</v>
      </c>
      <c r="E5">
        <f>COUNTIF(Orders!$F$2:$F$989,Products!A5)</f>
        <v>115</v>
      </c>
    </row>
    <row r="6" spans="1:5" x14ac:dyDescent="0.25">
      <c r="A6" t="s">
        <v>23</v>
      </c>
      <c r="B6" t="s">
        <v>1086</v>
      </c>
      <c r="C6" t="s">
        <v>1087</v>
      </c>
      <c r="D6">
        <v>600</v>
      </c>
      <c r="E6">
        <f>COUNTIF(Orders!$F$2:$F$989,Products!A6)</f>
        <v>134</v>
      </c>
    </row>
    <row r="7" spans="1:5" x14ac:dyDescent="0.25">
      <c r="A7" t="s">
        <v>64</v>
      </c>
      <c r="B7" t="s">
        <v>1088</v>
      </c>
      <c r="C7" t="s">
        <v>1087</v>
      </c>
      <c r="D7">
        <v>320</v>
      </c>
      <c r="E7">
        <f>COUNTIF(Orders!$F$2:$F$989,Products!A7)</f>
        <v>126</v>
      </c>
    </row>
    <row r="8" spans="1:5" x14ac:dyDescent="0.25">
      <c r="A8" t="s">
        <v>13</v>
      </c>
      <c r="B8" t="s">
        <v>1089</v>
      </c>
      <c r="C8" t="s">
        <v>1087</v>
      </c>
      <c r="D8">
        <v>1300</v>
      </c>
      <c r="E8">
        <f>COUNTIF(Orders!$F$2:$F$989,Products!A8)</f>
        <v>125</v>
      </c>
    </row>
    <row r="9" spans="1:5" x14ac:dyDescent="0.25">
      <c r="A9" t="s">
        <v>43</v>
      </c>
      <c r="B9" t="s">
        <v>1090</v>
      </c>
      <c r="C9" t="s">
        <v>1087</v>
      </c>
      <c r="D9">
        <v>980</v>
      </c>
      <c r="E9">
        <f>COUNTIF(Orders!$F$2:$F$989,Products!A9)</f>
        <v>121</v>
      </c>
    </row>
    <row r="11" spans="1:5" x14ac:dyDescent="0.25">
      <c r="E11">
        <f>SUM(E2:E9)</f>
        <v>987</v>
      </c>
    </row>
    <row r="13" spans="1:5" x14ac:dyDescent="0.25">
      <c r="E13">
        <f>COUNTA(Orders!E2:E989)</f>
        <v>988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workbookViewId="0"/>
  </sheetViews>
  <sheetFormatPr defaultRowHeight="15" x14ac:dyDescent="0.25"/>
  <cols>
    <col min="1" max="9" width="16" customWidth="1"/>
  </cols>
  <sheetData>
    <row r="1" spans="1:2" x14ac:dyDescent="0.25">
      <c r="A1" s="1" t="s">
        <v>1091</v>
      </c>
      <c r="B1" s="1" t="s">
        <v>1092</v>
      </c>
    </row>
    <row r="2" spans="1:2" x14ac:dyDescent="0.25">
      <c r="A2" s="3">
        <v>45658</v>
      </c>
      <c r="B2">
        <v>1860000</v>
      </c>
    </row>
    <row r="3" spans="1:2" x14ac:dyDescent="0.25">
      <c r="A3" s="3">
        <v>45689</v>
      </c>
      <c r="B3">
        <v>1920000</v>
      </c>
    </row>
    <row r="4" spans="1:2" x14ac:dyDescent="0.25">
      <c r="A4" s="3">
        <v>45717</v>
      </c>
      <c r="B4">
        <v>1980000</v>
      </c>
    </row>
    <row r="5" spans="1:2" x14ac:dyDescent="0.25">
      <c r="A5" s="3">
        <v>45748</v>
      </c>
      <c r="B5">
        <v>2040000</v>
      </c>
    </row>
    <row r="6" spans="1:2" x14ac:dyDescent="0.25">
      <c r="A6" s="3">
        <v>45778</v>
      </c>
      <c r="B6">
        <v>2100000</v>
      </c>
    </row>
    <row r="7" spans="1:2" x14ac:dyDescent="0.25">
      <c r="A7" s="3">
        <v>45809</v>
      </c>
      <c r="B7">
        <v>2160000</v>
      </c>
    </row>
    <row r="8" spans="1:2" x14ac:dyDescent="0.25">
      <c r="A8" s="3">
        <v>45839</v>
      </c>
      <c r="B8">
        <v>2220000</v>
      </c>
    </row>
    <row r="9" spans="1:2" x14ac:dyDescent="0.25">
      <c r="A9" s="3">
        <v>45870</v>
      </c>
      <c r="B9">
        <v>2280000</v>
      </c>
    </row>
    <row r="10" spans="1:2" x14ac:dyDescent="0.25">
      <c r="A10" s="3">
        <v>45901</v>
      </c>
      <c r="B10">
        <v>2340000</v>
      </c>
    </row>
    <row r="11" spans="1:2" x14ac:dyDescent="0.25">
      <c r="A11" s="3">
        <v>45931</v>
      </c>
      <c r="B11">
        <v>2400000</v>
      </c>
    </row>
    <row r="12" spans="1:2" x14ac:dyDescent="0.25">
      <c r="A12" s="3">
        <v>45962</v>
      </c>
      <c r="B12">
        <v>2460000</v>
      </c>
    </row>
    <row r="13" spans="1:2" x14ac:dyDescent="0.25">
      <c r="A13" s="3">
        <v>45992</v>
      </c>
      <c r="B13">
        <v>2520000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1AB0E-B4F6-48B6-ACB0-38905D2EE506}">
  <dimension ref="A1:E8"/>
  <sheetViews>
    <sheetView workbookViewId="0">
      <selection activeCell="E8" sqref="E8"/>
    </sheetView>
  </sheetViews>
  <sheetFormatPr defaultRowHeight="15" x14ac:dyDescent="0.25"/>
  <cols>
    <col min="1" max="1" width="13.28515625" customWidth="1"/>
    <col min="2" max="2" width="69.5703125" bestFit="1" customWidth="1"/>
    <col min="3" max="3" width="14" customWidth="1"/>
    <col min="4" max="4" width="84" bestFit="1" customWidth="1"/>
    <col min="5" max="5" width="6" bestFit="1" customWidth="1"/>
  </cols>
  <sheetData>
    <row r="1" spans="1:5" x14ac:dyDescent="0.25">
      <c r="A1" s="4" t="s">
        <v>1093</v>
      </c>
      <c r="B1" s="4" t="s">
        <v>1094</v>
      </c>
      <c r="C1" s="4" t="s">
        <v>1095</v>
      </c>
      <c r="D1" s="4" t="s">
        <v>1096</v>
      </c>
      <c r="E1" s="4" t="s">
        <v>1101</v>
      </c>
    </row>
    <row r="2" spans="1:5" x14ac:dyDescent="0.25">
      <c r="A2" t="s">
        <v>2</v>
      </c>
      <c r="B2" t="s">
        <v>1097</v>
      </c>
      <c r="C2">
        <v>9</v>
      </c>
      <c r="D2" t="s">
        <v>1105</v>
      </c>
      <c r="E2" s="5" t="b">
        <v>1</v>
      </c>
    </row>
    <row r="3" spans="1:5" x14ac:dyDescent="0.25">
      <c r="A3" t="s">
        <v>3</v>
      </c>
      <c r="B3" t="s">
        <v>1106</v>
      </c>
      <c r="C3">
        <v>14</v>
      </c>
      <c r="D3" t="s">
        <v>1099</v>
      </c>
      <c r="E3" s="5" t="b">
        <v>1</v>
      </c>
    </row>
    <row r="4" spans="1:5" x14ac:dyDescent="0.25">
      <c r="A4" t="s">
        <v>3</v>
      </c>
      <c r="B4" t="s">
        <v>1098</v>
      </c>
      <c r="C4">
        <v>12</v>
      </c>
      <c r="D4" t="s">
        <v>1100</v>
      </c>
      <c r="E4" s="5" t="b">
        <v>1</v>
      </c>
    </row>
    <row r="5" spans="1:5" x14ac:dyDescent="0.25">
      <c r="A5" t="s">
        <v>6</v>
      </c>
      <c r="B5" t="s">
        <v>1097</v>
      </c>
      <c r="C5">
        <v>12</v>
      </c>
      <c r="D5" t="s">
        <v>1109</v>
      </c>
      <c r="E5" s="5" t="b">
        <v>1</v>
      </c>
    </row>
    <row r="6" spans="1:5" x14ac:dyDescent="0.25">
      <c r="A6" t="s">
        <v>0</v>
      </c>
      <c r="B6" t="s">
        <v>1107</v>
      </c>
      <c r="C6">
        <v>15</v>
      </c>
      <c r="D6" t="s">
        <v>1108</v>
      </c>
      <c r="E6" s="5" t="b">
        <v>1</v>
      </c>
    </row>
    <row r="7" spans="1:5" ht="18" customHeight="1" x14ac:dyDescent="0.25">
      <c r="A7" s="6" t="s">
        <v>5</v>
      </c>
      <c r="B7" s="6" t="s">
        <v>1103</v>
      </c>
      <c r="C7" s="6">
        <v>1</v>
      </c>
      <c r="D7" s="6" t="s">
        <v>1104</v>
      </c>
      <c r="E7" s="5" t="b">
        <v>1</v>
      </c>
    </row>
    <row r="8" spans="1:5" x14ac:dyDescent="0.25">
      <c r="A8" t="s">
        <v>1080</v>
      </c>
      <c r="B8" t="s">
        <v>1115</v>
      </c>
      <c r="C8">
        <v>1</v>
      </c>
      <c r="D8" t="s">
        <v>1116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Pivot_Analysis</vt:lpstr>
      <vt:lpstr>Charts</vt:lpstr>
      <vt:lpstr>Dashboard_Data</vt:lpstr>
      <vt:lpstr>Dashboard</vt:lpstr>
      <vt:lpstr>Orders</vt:lpstr>
      <vt:lpstr>Products</vt:lpstr>
      <vt:lpstr>Targets</vt:lpstr>
      <vt:lpstr>Cleaning_Log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Susila S</cp:lastModifiedBy>
  <dcterms:created xsi:type="dcterms:W3CDTF">2026-10-09T12:55:32Z</dcterms:created>
  <dcterms:modified xsi:type="dcterms:W3CDTF">2026-10-12T06:00:05Z</dcterms:modified>
</cp:coreProperties>
</file>